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worksheets/sheet4.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worksheets/sheet5.xml" ContentType="application/vnd.openxmlformats-officedocument.spreadsheetml.worksheet+xml"/>
  <Override PartName="/xl/tables/table11.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9200" windowHeight="8055" tabRatio="600" firstSheet="0" activeTab="1" autoFilterDateGrouping="1"/>
  </bookViews>
  <sheets>
    <sheet name="运营工作明细" sheetId="1" state="visible" r:id="rId1"/>
    <sheet name="任务评分" sheetId="2" state="visible" r:id="rId2"/>
    <sheet name="主动改善评价" sheetId="3" state="visible" r:id="rId3"/>
    <sheet name="场景示例" sheetId="4" state="visible" r:id="rId4"/>
    <sheet name="优化登记与复盘规则" sheetId="5" state="visible" r:id="rId5"/>
    <sheet name="广告优化认定规则（已归档）" sheetId="6" state="visible" r:id="rId6"/>
  </sheets>
  <definedNames/>
  <calcPr calcId="191029" fullCalcOnLoad="1"/>
</workbook>
</file>

<file path=xl/styles.xml><?xml version="1.0" encoding="utf-8"?>
<styleSheet xmlns="http://schemas.openxmlformats.org/spreadsheetml/2006/main">
  <numFmts count="1">
    <numFmt numFmtId="164" formatCode="0.0"/>
  </numFmts>
  <fonts count="39">
    <font>
      <name val="Carlito"/>
      <charset val="134"/>
      <sz val="11"/>
    </font>
    <font>
      <name val="Microsoft YaHei"/>
      <charset val="134"/>
      <b val="1"/>
      <color rgb="FFFFFFFF"/>
      <sz val="11"/>
    </font>
    <font>
      <name val="Microsoft YaHei"/>
      <charset val="134"/>
      <sz val="10"/>
    </font>
    <font>
      <name val="Arial"/>
      <charset val="134"/>
      <b val="1"/>
      <color rgb="FF1F4E78"/>
      <sz val="14"/>
    </font>
    <font>
      <name val="Arial"/>
      <charset val="134"/>
      <color rgb="FF475569"/>
      <sz val="10"/>
    </font>
    <font>
      <name val="Microsoft YaHei"/>
      <charset val="134"/>
      <b val="1"/>
      <color rgb="FFFFFFFF"/>
      <sz val="10"/>
    </font>
    <font>
      <name val="Microsoft YaHei"/>
      <charset val="134"/>
      <color rgb="FF1F2937"/>
      <sz val="10"/>
    </font>
    <font>
      <name val="Microsoft YaHei"/>
      <charset val="134"/>
      <b val="1"/>
      <color rgb="FF1F4E78"/>
      <sz val="10"/>
    </font>
    <font>
      <name val="Microsoft YaHei"/>
      <charset val="134"/>
      <color rgb="FF475569"/>
      <sz val="10"/>
    </font>
    <font>
      <name val="Arial"/>
      <charset val="134"/>
      <color rgb="FF1F2937"/>
      <sz val="10"/>
    </font>
    <font>
      <name val="Arial"/>
      <charset val="134"/>
      <b val="1"/>
      <color rgb="FF1F4E78"/>
      <sz val="11"/>
    </font>
    <font>
      <name val="Arial"/>
      <charset val="134"/>
      <b val="1"/>
      <color rgb="FFFFFFFF"/>
      <sz val="10"/>
    </font>
    <font>
      <name val="微软雅黑"/>
      <charset val="134"/>
      <sz val="9"/>
    </font>
    <font>
      <name val="微软雅黑"/>
      <charset val="134"/>
      <color rgb="FF1F2937"/>
      <sz val="9"/>
    </font>
    <font>
      <name val="微软雅黑"/>
      <charset val="134"/>
      <b val="1"/>
      <color rgb="FF1F4E78"/>
      <sz val="9"/>
    </font>
    <font>
      <name val="微软雅黑"/>
      <charset val="134"/>
      <color rgb="FF475569"/>
      <sz val="9"/>
    </font>
    <font>
      <name val="Microsoft YaHei"/>
      <charset val="134"/>
      <b val="1"/>
      <color rgb="FF1F2937"/>
      <sz val="10"/>
    </font>
    <font>
      <name val="Calibri"/>
      <charset val="134"/>
      <color theme="1"/>
      <sz val="11"/>
    </font>
    <font>
      <name val="Calibri"/>
      <charset val="134"/>
      <color rgb="FF0000FF"/>
      <sz val="11"/>
    </font>
    <font>
      <name val="Calibri"/>
      <charset val="134"/>
      <color rgb="FF800080"/>
      <sz val="11"/>
    </font>
    <font>
      <name val="Calibri"/>
      <charset val="134"/>
      <color rgb="FFFF0000"/>
      <sz val="11"/>
    </font>
    <font>
      <name val="Calibri"/>
      <charset val="134"/>
      <b val="1"/>
      <color theme="3"/>
      <sz val="18"/>
    </font>
    <font>
      <name val="Calibri"/>
      <charset val="134"/>
      <i val="1"/>
      <color rgb="FF7F7F7F"/>
      <sz val="11"/>
    </font>
    <font>
      <name val="Calibri"/>
      <charset val="134"/>
      <b val="1"/>
      <color theme="3"/>
      <sz val="15"/>
    </font>
    <font>
      <name val="Calibri"/>
      <charset val="134"/>
      <b val="1"/>
      <color theme="3"/>
      <sz val="13"/>
    </font>
    <font>
      <name val="Calibri"/>
      <charset val="134"/>
      <b val="1"/>
      <color theme="3"/>
      <sz val="11"/>
    </font>
    <font>
      <name val="Calibri"/>
      <charset val="134"/>
      <color rgb="FF3F3F76"/>
      <sz val="11"/>
    </font>
    <font>
      <name val="Calibri"/>
      <charset val="134"/>
      <b val="1"/>
      <color rgb="FF3F3F3F"/>
      <sz val="11"/>
    </font>
    <font>
      <name val="Calibri"/>
      <charset val="134"/>
      <b val="1"/>
      <color rgb="FFFA7D00"/>
      <sz val="11"/>
    </font>
    <font>
      <name val="Calibri"/>
      <charset val="134"/>
      <b val="1"/>
      <color rgb="FFFFFFFF"/>
      <sz val="11"/>
    </font>
    <font>
      <name val="Calibri"/>
      <charset val="134"/>
      <color rgb="FFFA7D00"/>
      <sz val="11"/>
    </font>
    <font>
      <name val="Calibri"/>
      <charset val="134"/>
      <b val="1"/>
      <color theme="1"/>
      <sz val="11"/>
    </font>
    <font>
      <name val="Calibri"/>
      <charset val="134"/>
      <color rgb="FF006100"/>
      <sz val="11"/>
    </font>
    <font>
      <name val="Calibri"/>
      <charset val="134"/>
      <color rgb="FF9C0006"/>
      <sz val="11"/>
    </font>
    <font>
      <name val="Calibri"/>
      <charset val="134"/>
      <color rgb="FF9C6500"/>
      <sz val="11"/>
    </font>
    <font>
      <name val="Calibri"/>
      <charset val="134"/>
      <color theme="0"/>
      <sz val="11"/>
    </font>
    <font>
      <name val="Arial"/>
      <b val="1"/>
      <sz val="11"/>
    </font>
    <font>
      <name val="Arial"/>
      <b val="1"/>
      <sz val="10"/>
    </font>
    <font>
      <name val="Arial"/>
      <b val="1"/>
      <color rgb="00FF0000"/>
      <sz val="11"/>
    </font>
  </fonts>
  <fills count="38">
    <fill>
      <patternFill/>
    </fill>
    <fill>
      <patternFill patternType="gray125"/>
    </fill>
    <fill>
      <patternFill patternType="solid">
        <fgColor rgb="FF17365D"/>
        <bgColor indexed="64"/>
      </patternFill>
    </fill>
    <fill>
      <patternFill patternType="solid">
        <fgColor rgb="FFFFF2CC"/>
        <bgColor indexed="64"/>
      </patternFill>
    </fill>
    <fill>
      <patternFill patternType="solid">
        <fgColor rgb="FF1F4E7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
      <patternFill patternType="solid">
        <fgColor rgb="FFFFF2CC"/>
        <bgColor rgb="FFFFF2CC"/>
      </patternFill>
    </fill>
    <fill>
      <patternFill patternType="solid">
        <fgColor rgb="FFF2F2F2"/>
        <bgColor rgb="FFF2F2F2"/>
      </patternFill>
    </fill>
  </fills>
  <borders count="12">
    <border>
      <left/>
      <right/>
      <top/>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style="thin">
        <color rgb="FFFFFFFF"/>
      </left>
      <right/>
      <top/>
      <bottom style="thin">
        <color rgb="FFFFFFF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17" fillId="0" borderId="0" applyAlignment="1">
      <alignment vertical="center"/>
    </xf>
    <xf numFmtId="43" fontId="17" fillId="0" borderId="0" applyAlignment="1">
      <alignment vertical="center"/>
    </xf>
    <xf numFmtId="44" fontId="17" fillId="0" borderId="0" applyAlignment="1">
      <alignment vertical="center"/>
    </xf>
    <xf numFmtId="9" fontId="17" fillId="0" borderId="0" applyAlignment="1">
      <alignment vertical="center"/>
    </xf>
    <xf numFmtId="41" fontId="17" fillId="0" borderId="0" applyAlignment="1">
      <alignment vertical="center"/>
    </xf>
    <xf numFmtId="42" fontId="17" fillId="0" borderId="0" applyAlignment="1">
      <alignment vertical="center"/>
    </xf>
    <xf numFmtId="0" fontId="18" fillId="0" borderId="0" applyAlignment="1">
      <alignment vertical="center"/>
    </xf>
    <xf numFmtId="0" fontId="19" fillId="0" borderId="0" applyAlignment="1">
      <alignment vertical="center"/>
    </xf>
    <xf numFmtId="0" fontId="17" fillId="5" borderId="4" applyAlignment="1">
      <alignment vertical="center"/>
    </xf>
    <xf numFmtId="0" fontId="20" fillId="0" borderId="0" applyAlignment="1">
      <alignment vertical="center"/>
    </xf>
    <xf numFmtId="0" fontId="21" fillId="0" borderId="0" applyAlignment="1">
      <alignment vertical="center"/>
    </xf>
    <xf numFmtId="0" fontId="22" fillId="0" borderId="0" applyAlignment="1">
      <alignment vertical="center"/>
    </xf>
    <xf numFmtId="0" fontId="23" fillId="0" borderId="5" applyAlignment="1">
      <alignment vertical="center"/>
    </xf>
    <xf numFmtId="0" fontId="24" fillId="0" borderId="5" applyAlignment="1">
      <alignment vertical="center"/>
    </xf>
    <xf numFmtId="0" fontId="25" fillId="0" borderId="6" applyAlignment="1">
      <alignment vertical="center"/>
    </xf>
    <xf numFmtId="0" fontId="25" fillId="0" borderId="0" applyAlignment="1">
      <alignment vertical="center"/>
    </xf>
    <xf numFmtId="0" fontId="26" fillId="6" borderId="7" applyAlignment="1">
      <alignment vertical="center"/>
    </xf>
    <xf numFmtId="0" fontId="27" fillId="7" borderId="8" applyAlignment="1">
      <alignment vertical="center"/>
    </xf>
    <xf numFmtId="0" fontId="28" fillId="7" borderId="7" applyAlignment="1">
      <alignment vertical="center"/>
    </xf>
    <xf numFmtId="0" fontId="29" fillId="8" borderId="9" applyAlignment="1">
      <alignment vertical="center"/>
    </xf>
    <xf numFmtId="0" fontId="30" fillId="0" borderId="10" applyAlignment="1">
      <alignment vertical="center"/>
    </xf>
    <xf numFmtId="0" fontId="31" fillId="0" borderId="11" applyAlignment="1">
      <alignment vertical="center"/>
    </xf>
    <xf numFmtId="0" fontId="32" fillId="9" borderId="0" applyAlignment="1">
      <alignment vertical="center"/>
    </xf>
    <xf numFmtId="0" fontId="33" fillId="10" borderId="0" applyAlignment="1">
      <alignment vertical="center"/>
    </xf>
    <xf numFmtId="0" fontId="34" fillId="11" borderId="0" applyAlignment="1">
      <alignment vertical="center"/>
    </xf>
    <xf numFmtId="0" fontId="35" fillId="12" borderId="0" applyAlignment="1">
      <alignment vertical="center"/>
    </xf>
    <xf numFmtId="0" fontId="17" fillId="13" borderId="0" applyAlignment="1">
      <alignment vertical="center"/>
    </xf>
    <xf numFmtId="0" fontId="17" fillId="14" borderId="0" applyAlignment="1">
      <alignment vertical="center"/>
    </xf>
    <xf numFmtId="0" fontId="35" fillId="15" borderId="0" applyAlignment="1">
      <alignment vertical="center"/>
    </xf>
    <xf numFmtId="0" fontId="35" fillId="16" borderId="0" applyAlignment="1">
      <alignment vertical="center"/>
    </xf>
    <xf numFmtId="0" fontId="17" fillId="17" borderId="0" applyAlignment="1">
      <alignment vertical="center"/>
    </xf>
    <xf numFmtId="0" fontId="17" fillId="18" borderId="0" applyAlignment="1">
      <alignment vertical="center"/>
    </xf>
    <xf numFmtId="0" fontId="35" fillId="19" borderId="0" applyAlignment="1">
      <alignment vertical="center"/>
    </xf>
    <xf numFmtId="0" fontId="35" fillId="20" borderId="0" applyAlignment="1">
      <alignment vertical="center"/>
    </xf>
    <xf numFmtId="0" fontId="17" fillId="21" borderId="0" applyAlignment="1">
      <alignment vertical="center"/>
    </xf>
    <xf numFmtId="0" fontId="17" fillId="22" borderId="0" applyAlignment="1">
      <alignment vertical="center"/>
    </xf>
    <xf numFmtId="0" fontId="35" fillId="23" borderId="0" applyAlignment="1">
      <alignment vertical="center"/>
    </xf>
    <xf numFmtId="0" fontId="35" fillId="24" borderId="0" applyAlignment="1">
      <alignment vertical="center"/>
    </xf>
    <xf numFmtId="0" fontId="17" fillId="25" borderId="0" applyAlignment="1">
      <alignment vertical="center"/>
    </xf>
    <xf numFmtId="0" fontId="17" fillId="26" borderId="0" applyAlignment="1">
      <alignment vertical="center"/>
    </xf>
    <xf numFmtId="0" fontId="35" fillId="27" borderId="0" applyAlignment="1">
      <alignment vertical="center"/>
    </xf>
    <xf numFmtId="0" fontId="35" fillId="28" borderId="0" applyAlignment="1">
      <alignment vertical="center"/>
    </xf>
    <xf numFmtId="0" fontId="17" fillId="29" borderId="0" applyAlignment="1">
      <alignment vertical="center"/>
    </xf>
    <xf numFmtId="0" fontId="17" fillId="30" borderId="0" applyAlignment="1">
      <alignment vertical="center"/>
    </xf>
    <xf numFmtId="0" fontId="35" fillId="31" borderId="0" applyAlignment="1">
      <alignment vertical="center"/>
    </xf>
    <xf numFmtId="0" fontId="35" fillId="32" borderId="0" applyAlignment="1">
      <alignment vertical="center"/>
    </xf>
    <xf numFmtId="0" fontId="17" fillId="33" borderId="0" applyAlignment="1">
      <alignment vertical="center"/>
    </xf>
    <xf numFmtId="0" fontId="17" fillId="34" borderId="0" applyAlignment="1">
      <alignment vertical="center"/>
    </xf>
    <xf numFmtId="0" fontId="35" fillId="35" borderId="0" applyAlignment="1">
      <alignment vertical="center"/>
    </xf>
    <xf numFmtId="0" fontId="0" fillId="0" borderId="0"/>
  </cellStyleXfs>
  <cellXfs count="51">
    <xf numFmtId="0" fontId="0" fillId="0" borderId="0" pivotButton="0" quotePrefix="0" xfId="49"/>
    <xf numFmtId="0" fontId="1" fillId="2" borderId="0" applyAlignment="1" pivotButton="0" quotePrefix="0" xfId="0">
      <alignment vertical="center" wrapText="1"/>
    </xf>
    <xf numFmtId="0" fontId="2" fillId="0" borderId="0" applyAlignment="1" pivotButton="0" quotePrefix="0" xfId="0">
      <alignment vertical="center" wrapText="1"/>
    </xf>
    <xf numFmtId="0" fontId="2" fillId="3" borderId="0" applyAlignment="1" pivotButton="0" quotePrefix="0" xfId="0">
      <alignment vertical="center" wrapText="1"/>
    </xf>
    <xf numFmtId="0" fontId="3" fillId="0" borderId="0" pivotButton="0" quotePrefix="0" xfId="49"/>
    <xf numFmtId="0" fontId="4" fillId="0" borderId="0" pivotButton="0" quotePrefix="0" xfId="49"/>
    <xf numFmtId="0" fontId="5" fillId="4" borderId="0" applyAlignment="1" pivotButton="0" quotePrefix="0" xfId="0">
      <alignment horizontal="center" vertical="center" wrapText="1"/>
    </xf>
    <xf numFmtId="0" fontId="6" fillId="0" borderId="0" applyAlignment="1" pivotButton="0" quotePrefix="0" xfId="0">
      <alignment vertical="center" wrapText="1"/>
    </xf>
    <xf numFmtId="164" fontId="6" fillId="3" borderId="0" applyAlignment="1" pivotButton="0" quotePrefix="0" xfId="0">
      <alignment horizontal="right" vertical="center" wrapText="1"/>
    </xf>
    <xf numFmtId="164" fontId="7" fillId="0" borderId="0" applyAlignment="1" pivotButton="0" quotePrefix="0" xfId="0">
      <alignment horizontal="right" vertical="center" wrapText="1"/>
    </xf>
    <xf numFmtId="0" fontId="7" fillId="0" borderId="0" applyAlignment="1" pivotButton="0" quotePrefix="0" xfId="0">
      <alignment vertical="center" wrapText="1"/>
    </xf>
    <xf numFmtId="0" fontId="8" fillId="0" borderId="0" applyAlignment="1" pivotButton="0" quotePrefix="0" xfId="0">
      <alignment vertical="center" wrapText="1"/>
    </xf>
    <xf numFmtId="164" fontId="6" fillId="0" borderId="0" applyAlignment="1" pivotButton="0" quotePrefix="0" xfId="0">
      <alignment horizontal="right" vertical="center" wrapText="1"/>
    </xf>
    <xf numFmtId="1" fontId="6" fillId="0" borderId="0" applyAlignment="1" pivotButton="0" quotePrefix="0" xfId="0">
      <alignment horizontal="right" vertical="center" wrapText="1"/>
    </xf>
    <xf numFmtId="2" fontId="6" fillId="0" borderId="0" applyAlignment="1" pivotButton="0" quotePrefix="0" xfId="0">
      <alignment horizontal="right" vertical="center" wrapText="1"/>
    </xf>
    <xf numFmtId="1" fontId="6" fillId="3" borderId="0" applyAlignment="1" pivotButton="0" quotePrefix="0" xfId="0">
      <alignment horizontal="right" vertical="center" wrapText="1"/>
    </xf>
    <xf numFmtId="164" fontId="7" fillId="0" borderId="0" applyAlignment="1" pivotButton="0" quotePrefix="0" xfId="0">
      <alignment vertical="center" wrapText="1"/>
    </xf>
    <xf numFmtId="0" fontId="6" fillId="3" borderId="0" applyAlignment="1" pivotButton="0" quotePrefix="0" xfId="0">
      <alignment vertical="center" wrapText="1"/>
    </xf>
    <xf numFmtId="2" fontId="7" fillId="0" borderId="0" applyAlignment="1" pivotButton="0" quotePrefix="0" xfId="0">
      <alignment vertical="center" wrapText="1"/>
    </xf>
    <xf numFmtId="0" fontId="5" fillId="2" borderId="0" applyAlignment="1" pivotButton="0" quotePrefix="0" xfId="0">
      <alignment vertical="center" wrapText="1"/>
    </xf>
    <xf numFmtId="0" fontId="0" fillId="3" borderId="0" pivotButton="0" quotePrefix="0" xfId="0"/>
    <xf numFmtId="164" fontId="0" fillId="0" borderId="0" pivotButton="0" quotePrefix="0" xfId="0"/>
    <xf numFmtId="0" fontId="9" fillId="0" borderId="0" pivotButton="0" quotePrefix="0" xfId="49"/>
    <xf numFmtId="0" fontId="10" fillId="0" borderId="0" pivotButton="0" quotePrefix="0" xfId="49"/>
    <xf numFmtId="0" fontId="11" fillId="4" borderId="0" applyAlignment="1" pivotButton="0" quotePrefix="0" xfId="49">
      <alignment horizontal="center" vertical="center" wrapText="1"/>
    </xf>
    <xf numFmtId="0" fontId="9" fillId="0" borderId="0" applyAlignment="1" pivotButton="0" quotePrefix="0" xfId="49">
      <alignment vertical="center" wrapText="1"/>
    </xf>
    <xf numFmtId="164" fontId="9" fillId="3" borderId="0" applyAlignment="1" pivotButton="0" quotePrefix="0" xfId="49">
      <alignment horizontal="center" vertical="center" wrapText="1"/>
    </xf>
    <xf numFmtId="0" fontId="9" fillId="0" borderId="0" applyAlignment="1" pivotButton="0" quotePrefix="0" xfId="49">
      <alignment horizontal="center" vertical="center" wrapText="1"/>
    </xf>
    <xf numFmtId="1" fontId="9" fillId="0" borderId="0" applyAlignment="1" pivotButton="0" quotePrefix="0" xfId="49">
      <alignment horizontal="center" vertical="center" wrapText="1"/>
    </xf>
    <xf numFmtId="0" fontId="12" fillId="0" borderId="0" applyAlignment="1" pivotButton="0" quotePrefix="0" xfId="49">
      <alignment vertical="center"/>
    </xf>
    <xf numFmtId="0" fontId="12" fillId="0" borderId="0" pivotButton="0" quotePrefix="0" xfId="49"/>
    <xf numFmtId="0" fontId="13" fillId="0" borderId="0" pivotButton="0" quotePrefix="0" xfId="49"/>
    <xf numFmtId="0" fontId="14" fillId="0" borderId="0" pivotButton="0" quotePrefix="0" xfId="49"/>
    <xf numFmtId="0" fontId="15" fillId="0" borderId="0" pivotButton="0" quotePrefix="0" xfId="49"/>
    <xf numFmtId="0" fontId="5" fillId="4" borderId="1" applyAlignment="1" pivotButton="0" quotePrefix="0" xfId="0">
      <alignment horizontal="center" vertical="center" wrapText="1"/>
    </xf>
    <xf numFmtId="0" fontId="5" fillId="4" borderId="2" applyAlignment="1" pivotButton="0" quotePrefix="0" xfId="0">
      <alignment horizontal="center" vertical="center" wrapText="1"/>
    </xf>
    <xf numFmtId="0" fontId="5" fillId="4" borderId="3" applyAlignment="1" pivotButton="0" quotePrefix="0" xfId="0">
      <alignment horizontal="center" vertical="center" wrapText="1"/>
    </xf>
    <xf numFmtId="0" fontId="16" fillId="0" borderId="0" applyAlignment="1" pivotButton="0" quotePrefix="0" xfId="0">
      <alignment vertical="center" wrapText="1"/>
    </xf>
    <xf numFmtId="0" fontId="6" fillId="0" borderId="0" applyAlignment="1" pivotButton="0" quotePrefix="0" xfId="0">
      <alignment horizontal="left" vertical="center" wrapText="1"/>
    </xf>
    <xf numFmtId="0" fontId="0" fillId="0" borderId="0" pivotButton="0" quotePrefix="0" xfId="0"/>
    <xf numFmtId="164" fontId="6" fillId="3" borderId="0" applyAlignment="1" pivotButton="0" quotePrefix="0" xfId="0">
      <alignment horizontal="right" vertical="center" wrapText="1"/>
    </xf>
    <xf numFmtId="164" fontId="7" fillId="0" borderId="0" applyAlignment="1" pivotButton="0" quotePrefix="0" xfId="0">
      <alignment horizontal="right" vertical="center" wrapText="1"/>
    </xf>
    <xf numFmtId="164" fontId="6" fillId="36" borderId="0" applyAlignment="1" pivotButton="0" quotePrefix="0" xfId="0">
      <alignment horizontal="right" vertical="center" wrapText="1"/>
    </xf>
    <xf numFmtId="164" fontId="9" fillId="3" borderId="0" applyAlignment="1" pivotButton="0" quotePrefix="0" xfId="49">
      <alignment horizontal="center" vertical="center" wrapText="1"/>
    </xf>
    <xf numFmtId="164" fontId="6" fillId="0" borderId="0" applyAlignment="1" pivotButton="0" quotePrefix="0" xfId="0">
      <alignment horizontal="right" vertical="center" wrapText="1"/>
    </xf>
    <xf numFmtId="164" fontId="7" fillId="0" borderId="0" applyAlignment="1" pivotButton="0" quotePrefix="0" xfId="0">
      <alignment vertical="center" wrapText="1"/>
    </xf>
    <xf numFmtId="164" fontId="0" fillId="0" borderId="0" pivotButton="0" quotePrefix="0" xfId="0"/>
    <xf numFmtId="0" fontId="36" fillId="0" borderId="0" pivotButton="0" quotePrefix="0" xfId="0"/>
    <xf numFmtId="0" fontId="37" fillId="37" borderId="0" pivotButton="0" quotePrefix="0" xfId="0"/>
    <xf numFmtId="0" fontId="0" fillId="0" borderId="0" applyAlignment="1" pivotButton="0" quotePrefix="0" xfId="0">
      <alignment vertical="top" wrapText="1"/>
    </xf>
    <xf numFmtId="0" fontId="38" fillId="0" borderId="0" applyAlignment="1" pivotButton="0" quotePrefix="0" xfId="0">
      <alignment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AmazonOpsWorkOptimized" displayName="AmazonOpsWorkOptimized" ref="A1:G43" headerRowCount="1" totalsRowShown="0">
  <tableColumns count="7">
    <tableColumn id="1" name="一级模块"/>
    <tableColumn id="2" name="二级模块"/>
    <tableColumn id="3" name="具体运营工作"/>
    <tableColumn id="4" name="分类边界"/>
    <tableColumn id="5" name="计量单位"/>
    <tableColumn id="6" name="标准交付物"/>
    <tableColumn id="7" name="验收标准"/>
  </tableColumns>
  <tableStyleInfo name="TableStyleMedium2" showFirstColumn="0" showLastColumn="0" showRowStripes="1" showColumnStripes="0"/>
</table>
</file>

<file path=xl/tables/table2.xml><?xml version="1.0" encoding="utf-8"?>
<table xmlns="http://schemas.openxmlformats.org/spreadsheetml/2006/main" id="2" name="AmazonOpsScoring" displayName="AmazonOpsScoring" ref="A7:I49" headerRowCount="1" totalsRowShown="0">
  <tableColumns count="9">
    <tableColumn id="1" name="一级模块"/>
    <tableColumn id="2" name="工作项目"/>
    <tableColumn id="3" name="基础分"/>
    <tableColumn id="4" name="难度系数"/>
    <tableColumn id="5" name="基础分等级"/>
    <tableColumn id="6" name="难度系数等级"/>
    <tableColumn id="7" name="默认单位积分"/>
    <tableColumn id="8" name="计分说明"/>
    <tableColumn id="9" name="场景示例"/>
  </tableColumns>
  <tableStyleInfo name="TableStyleMedium2" showFirstColumn="0" showLastColumn="0" showRowStripes="1" showColumnStripes="0"/>
</table>
</file>

<file path=xl/tables/table3.xml><?xml version="1.0" encoding="utf-8"?>
<table xmlns="http://schemas.openxmlformats.org/spreadsheetml/2006/main" id="3" name="ProactiveGrades" displayName="ProactiveGrades" ref="A7:E10" headerRowCount="1" totalsRowShown="0">
  <tableColumns count="5">
    <tableColumn id="1" name="评价档位"/>
    <tableColumn id="2" name="认定标准"/>
    <tableColumn id="3" name="案例分"/>
    <tableColumn id="4" name="必要记录"/>
    <tableColumn id="5" name="验收及计分说明"/>
  </tableColumns>
  <tableStyleInfo name="TableStyleMedium2" showFirstColumn="0" showLastColumn="0" showRowStripes="1" showColumnStripes="0"/>
</table>
</file>

<file path=xl/tables/table4.xml><?xml version="1.0" encoding="utf-8"?>
<table xmlns="http://schemas.openxmlformats.org/spreadsheetml/2006/main" id="4" name="ProactiveEligibility" displayName="ProactiveEligibility" ref="A13:E21" headerRowCount="1" totalsRowShown="0">
  <tableColumns count="5">
    <tableColumn id="1" name="场景"/>
    <tableColumn id="2" name="判断规则"/>
    <tableColumn id="3" name="主动分"/>
    <tableColumn id="4" name="必要记录"/>
    <tableColumn id="5" name="任务积分处理"/>
  </tableColumns>
  <tableStyleInfo name="TableStyleMedium2" showFirstColumn="0" showLastColumn="0" showRowStripes="1" showColumnStripes="0"/>
</table>
</file>

<file path=xl/tables/table5.xml><?xml version="1.0" encoding="utf-8"?>
<table xmlns="http://schemas.openxmlformats.org/spreadsheetml/2006/main" id="5" name="ProactiveTaskMapping" displayName="ProactiveTaskMapping" ref="A24:E28" headerRowCount="1" totalsRowShown="0">
  <tableColumns count="5">
    <tableColumn id="1" name="主动工作"/>
    <tableColumn id="2" name="对应任务类型"/>
    <tableColumn id="3" name="任务分"/>
    <tableColumn id="4" name="主动改善评价依据"/>
    <tableColumn id="5" name="记录及防重复要求"/>
  </tableColumns>
  <tableStyleInfo name="TableStyleMedium2" showFirstColumn="0" showLastColumn="0" showRowStripes="1" showColumnStripes="0"/>
</table>
</file>

<file path=xl/tables/table6.xml><?xml version="1.0" encoding="utf-8"?>
<table xmlns="http://schemas.openxmlformats.org/spreadsheetml/2006/main" id="6" name="ProactiveSettlement" displayName="ProactiveSettlement" ref="A31:E37" headerRowCount="1" totalsRowShown="0">
  <tableColumns count="5">
    <tableColumn id="1" name="规则"/>
    <tableColumn id="2" name="执行标准"/>
    <tableColumn id="3" name="分值／口径"/>
    <tableColumn id="4" name="必要记录"/>
    <tableColumn id="5" name="结算说明"/>
  </tableColumns>
  <tableStyleInfo name="TableStyleMedium2" showFirstColumn="0" showLastColumn="0" showRowStripes="1" showColumnStripes="0"/>
</table>
</file>

<file path=xl/tables/table7.xml><?xml version="1.0" encoding="utf-8"?>
<table xmlns="http://schemas.openxmlformats.org/spreadsheetml/2006/main" id="7" name="ConfirmedTaskScenarios" displayName="ConfirmedTaskScenarios" ref="A7:H20" headerRowCount="1" totalsRowShown="0">
  <autoFilter ref="A7:H20"/>
  <tableColumns count="8">
    <tableColumn id="1" name="工作类型"/>
    <tableColumn id="2" name="实际场景"/>
    <tableColumn id="3" name="基础分"/>
    <tableColumn id="4" name="难度系数"/>
    <tableColumn id="5" name="任务积分"/>
    <tableColumn id="6" name="工作范围"/>
    <tableColumn id="7" name="基础分选档依据"/>
    <tableColumn id="8" name="难度及计分说明"/>
  </tableColumns>
  <tableStyleInfo name="TableStyleMedium2" showFirstColumn="0" showLastColumn="0" showRowStripes="1" showColumnStripes="0"/>
</table>
</file>

<file path=xl/tables/table8.xml><?xml version="1.0" encoding="utf-8"?>
<table xmlns="http://schemas.openxmlformats.org/spreadsheetml/2006/main" id="8" name="OABatchAllocation" displayName="OABatchAllocation" ref="A30:H34" headerRowCount="1" totalsRowShown="0">
  <tableColumns count="8">
    <tableColumn id="1" name="工作类型"/>
    <tableColumn id="2" name="确认后的批次场景"/>
    <tableColumn id="3" name="基础分"/>
    <tableColumn id="4" name="难度系数"/>
    <tableColumn id="5" name="批次总分"/>
    <tableColumn id="6" name="OA任务条数"/>
    <tableColumn id="7" name="每条OA分摊分"/>
    <tableColumn id="8" name="记录与结算"/>
  </tableColumns>
  <tableStyleInfo name="TableStyleMedium2" showFirstColumn="0" showLastColumn="0" showRowStripes="1" showColumnStripes="0"/>
</table>
</file>

<file path=xl/tables/table9.xml><?xml version="1.0" encoding="utf-8"?>
<table xmlns="http://schemas.openxmlformats.org/spreadsheetml/2006/main" id="9" name="ListingTemplateGroups" displayName="ListingTemplateGroups" ref="A43:H47" headerRowCount="1" totalsRowShown="0">
  <tableColumns count="8">
    <tableColumn id="1" name="示例"/>
    <tableColumn id="2" name="上架表任务组"/>
    <tableColumn id="3" name="本组SKU数"/>
    <tableColumn id="4" name="本组基础分"/>
    <tableColumn id="5" name="难度系数"/>
    <tableColumn id="6" name="本组积分"/>
    <tableColumn id="7" name="分组说明"/>
    <tableColumn id="8" name="计分说明"/>
  </tableColumns>
  <tableStyleInfo name="TableStyleMedium2" showFirstColumn="0" showLastColumn="0" showRowStripes="1" showColumnStripes="0"/>
</table>
</file>

<file path=xl/tables/table10.xml><?xml version="1.0" encoding="utf-8"?>
<table xmlns="http://schemas.openxmlformats.org/spreadsheetml/2006/main" id="10" name="OAToListingGroup" displayName="OAToListingGroup" ref="A58:H65" headerRowCount="1" totalsRowShown="0">
  <tableColumns count="8">
    <tableColumn id="1" name="上架组编号"/>
    <tableColumn id="2" name="商品SKU"/>
    <tableColumn id="3" name="OA记录编号"/>
    <tableColumn id="4" name="目标父体"/>
    <tableColumn id="5" name="本组父体数"/>
    <tableColumn id="6" name="难度系数"/>
    <tableColumn id="7" name="本条OA分摊分"/>
    <tableColumn id="8" name="判断依据"/>
  </tableColumns>
  <tableStyleInfo name="TableStyleMedium2" showFirstColumn="0" showLastColumn="0" showRowStripes="1" showColumnStripes="0"/>
</table>
</file>

<file path=xl/tables/table11.xml><?xml version="1.0" encoding="utf-8"?>
<table xmlns="http://schemas.openxmlformats.org/spreadsheetml/2006/main" id="11" name="OptimizationReviewRules" displayName="OptimizationReviewRules" ref="A1:B16" headerRowCount="1" totalsRowShown="0">
  <tableColumns count="2">
    <tableColumn id="1" name="规则项目"/>
    <tableColumn id="2" name="执行标准（试行，可后续调整）"/>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 Type="http://schemas.openxmlformats.org/officeDocument/2006/relationships/table" Target="/xl/tables/table4.xml" Id="rId2" /><Relationship Type="http://schemas.openxmlformats.org/officeDocument/2006/relationships/table" Target="/xl/tables/table5.xml" Id="rId3" /><Relationship Type="http://schemas.openxmlformats.org/officeDocument/2006/relationships/table" Target="/xl/tables/table6.xml" Id="rId4" /></Relationships>
</file>

<file path=xl/worksheets/_rels/sheet4.xml.rels><Relationships xmlns="http://schemas.openxmlformats.org/package/2006/relationships"><Relationship Type="http://schemas.openxmlformats.org/officeDocument/2006/relationships/table" Target="/xl/tables/table7.xml" Id="rId1" /><Relationship Type="http://schemas.openxmlformats.org/officeDocument/2006/relationships/table" Target="/xl/tables/table8.xml" Id="rId2" /><Relationship Type="http://schemas.openxmlformats.org/officeDocument/2006/relationships/table" Target="/xl/tables/table9.xml" Id="rId3" /><Relationship Type="http://schemas.openxmlformats.org/officeDocument/2006/relationships/table" Target="/xl/tables/table10.xml" Id="rId4" /></Relationships>
</file>

<file path=xl/worksheets/_rels/sheet5.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G52"/>
  <sheetViews>
    <sheetView showGridLines="0" workbookViewId="0">
      <pane xSplit="2" ySplit="1" topLeftCell="C2" activePane="bottomRight" state="frozen"/>
      <selection activeCell="A1" sqref="A1"/>
      <selection pane="topRight" activeCell="A1" sqref="A1"/>
      <selection pane="bottomLeft" activeCell="A1" sqref="A1"/>
      <selection pane="bottomRight" activeCell="A1" sqref="$A1:$XFD1048576"/>
    </sheetView>
  </sheetViews>
  <sheetFormatPr baseColWidth="8" defaultColWidth="9" defaultRowHeight="13.5"/>
  <cols>
    <col width="18" customWidth="1" style="39" min="1" max="1"/>
    <col width="27" customWidth="1" style="39" min="2" max="2"/>
    <col width="58" customWidth="1" style="39" min="3" max="3"/>
    <col width="65" customWidth="1" style="39" min="4" max="4"/>
    <col width="48" customWidth="1" style="39" min="5" max="5"/>
    <col width="52" customWidth="1" style="39" min="6" max="6"/>
    <col width="65" customWidth="1" style="39" min="7" max="7"/>
  </cols>
  <sheetData>
    <row r="1" ht="14.65" customHeight="1" s="39">
      <c r="A1" s="34" t="inlineStr">
        <is>
          <t>一级模块</t>
        </is>
      </c>
      <c r="B1" s="35" t="inlineStr">
        <is>
          <t>二级模块</t>
        </is>
      </c>
      <c r="C1" s="36" t="inlineStr">
        <is>
          <t>具体运营工作</t>
        </is>
      </c>
      <c r="D1" s="2" t="inlineStr">
        <is>
          <t>分类边界</t>
        </is>
      </c>
      <c r="E1" s="2" t="inlineStr">
        <is>
          <t>计量单位</t>
        </is>
      </c>
      <c r="F1" s="2" t="inlineStr">
        <is>
          <t>标准交付物</t>
        </is>
      </c>
      <c r="G1" s="2" t="inlineStr">
        <is>
          <t>验收标准</t>
        </is>
      </c>
    </row>
    <row r="2" ht="41.65" customHeight="1" s="39">
      <c r="A2" s="37" t="inlineStr">
        <is>
          <t>新品上架</t>
        </is>
      </c>
      <c r="B2" s="7" t="inlineStr">
        <is>
          <t>Listing创建</t>
        </is>
      </c>
      <c r="C2" s="7" t="inlineStr">
        <is>
          <t>根据提供的资料下载并填写Category模板，或直接创建Listing；同时完成SKU、价格、库存和配送方式设置；完成父体、子体、全新组件变体或已有变体添加；处理上架报错</t>
        </is>
      </c>
      <c r="D2" s="38" t="inlineStr">
        <is>
          <t>按上架执行组计量：同次安排、同一执行人、同一站点、可共用一张上架表的SKU集合。OA仍一条一个SKU，通过组编号关联；父子关系操作已含在本组难度中，不再另计变体关系维护。</t>
        </is>
      </c>
      <c r="E2" s="38" t="inlineStr">
        <is>
          <t>一个上架执行组；登记组编号、全部OA编号、商品SKU数量及本次需处理关系的不同父体数量。</t>
        </is>
      </c>
      <c r="F2" s="38" t="inlineStr">
        <is>
          <t>上架清单、上传文件或设置记录、父子关系及报错处理记录。</t>
        </is>
      </c>
      <c r="G2" s="38" t="inlineStr">
        <is>
          <t>指定SKU创建结果、适用字段和父子关系核对完成；可售或待审核状态有记录；未成功项说明原因和下一步。</t>
        </is>
      </c>
    </row>
    <row r="3" ht="41.65" customHeight="1" s="39">
      <c r="A3" s="37" t="inlineStr">
        <is>
          <t>新品上架</t>
        </is>
      </c>
      <c r="B3" s="7" t="inlineStr">
        <is>
          <t>图片上传维护</t>
        </is>
      </c>
      <c r="C3" s="7" t="inlineStr">
        <is>
          <t>根据提供的图片完成新品主图、辅图上传、替换和排序</t>
        </is>
      </c>
      <c r="D3" s="38" t="inlineStr">
        <is>
          <t>取得可用图片后上传并核验；未取得图片标记“待图片”，暂停时限，齐备后恢复剩余时限。仅需协调取图的SKU用1.3。样品备货与拍摄协调另计独立任务；同一上传成果不重复计分。</t>
        </is>
      </c>
      <c r="E3" s="38" t="inlineStr">
        <is>
          <t>每个SKU：2分。
每个SKU上传自己的产品图片；不按批量降低分值。</t>
        </is>
      </c>
      <c r="F3" s="38" t="inlineStr">
        <is>
          <t>任务/OA编号、SKU或内容编号、执行记录及验收证据。</t>
        </is>
      </c>
      <c r="G3" s="38" t="inlineStr">
        <is>
          <t>按任务范围完成并核验，未完成事项与外部等待另行标记，不以提交代替完成。</t>
        </is>
      </c>
    </row>
    <row r="4" ht="55.5" customHeight="1" s="39">
      <c r="A4" s="37" t="inlineStr">
        <is>
          <t>产品素材准备</t>
        </is>
      </c>
      <c r="B4" s="7" t="inlineStr">
        <is>
          <t>样品备货与拍摄协调</t>
        </is>
      </c>
      <c r="C4" s="7" t="inlineStr">
        <is>
          <t>创建备货计划，由系统审核、专人采购；员工跟进到货，交接美工拍照，并核对、取得可用图片。</t>
        </is>
      </c>
      <c r="D4" s="38" t="inlineStr">
        <is>
          <t>员工负责创建备货计划、跟进到货、交接美工拍摄及核对收图；系统审核、专人采购、美工拍摄。同一次安排覆盖多个SKU只计一次5分，不按SKU数量、催办次数或等待时长加分。核对并取得可用图片后验收；图片上传另按2分/SKU计分，实际采购、拍照、设计及修图不属于本项员工执行范围。</t>
        </is>
      </c>
      <c r="E4" s="38" t="inlineStr">
        <is>
          <t>完成创建备货计划、到货跟进、交接美工拍照、核对并取得可用图片，计5分/完整任务。
各环节合并计分，不按阶段拆分。</t>
        </is>
      </c>
      <c r="F4" s="38" t="inlineStr">
        <is>
          <t>任务及备货计划编号、SKU清单、到货记录、美工交接记录及可用图片交付记录。</t>
        </is>
      </c>
      <c r="G4" s="38" t="inlineStr">
        <is>
          <t>完成创建备货计划、到货跟进、交接拍摄并核对取得可用图片后，按完整任务验收计5分。未取得可用图片时继续跟进，不按阶段分别结算。</t>
        </is>
      </c>
    </row>
    <row r="5" ht="41.65" customHeight="1" s="39">
      <c r="A5" s="37" t="inlineStr">
        <is>
          <t>新品上架</t>
        </is>
      </c>
      <c r="B5" s="7" t="inlineStr">
        <is>
          <t>A+制作发布</t>
        </is>
      </c>
      <c r="C5" s="7" t="inlineStr">
        <is>
          <t>根据任务将ASIN加入已有A+，或使用提供的图片和文案新制作一份共同A+，或为不同ASIN分别制作不同A+；提交审核并核验应用结果。</t>
        </is>
      </c>
      <c r="D5" s="38" t="inlineStr">
        <is>
          <t>新建分包含制作、提交、首次SKU绑定与核验，不另加首次绑定分。后续新任务增加SKU按1分/SKU。完全重做不得同时计“A+制作发布”与优化项目；同一成果只计一次。</t>
        </is>
      </c>
      <c r="E5" s="38" t="inlineStr">
        <is>
          <t>加入已有A+：1分/SKU。
新建或完全重做A+：10分/独立内容。
共用同一份新A+只计1份；不同内容按实际份数相加。</t>
        </is>
      </c>
      <c r="F5" s="38" t="inlineStr">
        <is>
          <t>任务/OA编号、SKU或内容编号、执行记录及验收证据。</t>
        </is>
      </c>
      <c r="G5" s="38" t="inlineStr">
        <is>
          <t>按任务范围完成并核验，未完成事项与外部等待另行标记，不以提交代替完成。</t>
        </is>
      </c>
    </row>
    <row r="6" ht="69.40000000000001" customHeight="1" s="39">
      <c r="A6" s="37" t="inlineStr">
        <is>
          <t>新品上架</t>
        </is>
      </c>
      <c r="B6" s="7" t="inlineStr">
        <is>
          <t>视频上传与信息维护</t>
        </is>
      </c>
      <c r="C6" s="7" t="inlineStr">
        <is>
          <t>修改视频标题等信息，上传或替换视频，为已有视频增加ASIN，完成对应关系及展示核验。</t>
        </is>
      </c>
      <c r="D6" s="38" t="inlineStr">
        <is>
          <t>同一视频同一轮，上传或替换已包含标题填写及首次ASIN绑定，不再叠加。已有视频同时修改标题并新增ASIN，可分别计标题修改与绑定分。上传失败重试、重复上传同一文件、修复本人错误不新增分。拍摄与剪辑不含在本项。</t>
        </is>
      </c>
      <c r="E6" s="38" t="inlineStr">
        <is>
          <t>修改标题等信息：1分/视频/轮。
上传或替换视频：3分/独立视频，含标题、首次ASIN绑定及核验。
已有视频添加ASIN：同视频同批次，1个SKU对应的ASIN计1分，2个及以上计2分；不同视频分别计算。</t>
        </is>
      </c>
      <c r="F6" s="38" t="inlineStr">
        <is>
          <t>任务/OA编号、SKU或内容编号、执行记录及验收证据。</t>
        </is>
      </c>
      <c r="G6" s="38" t="inlineStr">
        <is>
          <t>按任务范围完成并核验，未完成事项与外部等待另行标记，不以提交代替完成。</t>
        </is>
      </c>
    </row>
    <row r="7" ht="41.65" customHeight="1" s="39">
      <c r="A7" s="37" t="inlineStr">
        <is>
          <t>Listing内容维护</t>
        </is>
      </c>
      <c r="B7" s="7" t="inlineStr">
        <is>
          <t>Listing纠错</t>
        </is>
      </c>
      <c r="C7" s="7" t="inlineStr">
        <is>
          <t>根据产品资料、系统异常、VOC分析结果或负责人要求，对标题、五点、描述、Generic Keywords、图片、A+或视频进行纠错</t>
        </is>
      </c>
      <c r="D7" s="38" t="inlineStr">
        <is>
          <t>每次必须检查标题、五点、描述、A+、主图及视频，缺少该模块标记“不适用”。发现的错误全部修正并核验后验收；检查包含在纠错分中。修复自己造成的错误不新增分。同一纠错成果不再计图片、A+或视频修改分。</t>
        </is>
      </c>
      <c r="E7" s="38" t="inlineStr">
        <is>
          <t>每个独立错误点：2分。
同一错误在多个位置重复出现，合并为1个错误点。</t>
        </is>
      </c>
      <c r="F7" s="38" t="inlineStr">
        <is>
          <t>任务/OA编号、SKU或内容编号、执行记录及验收证据。</t>
        </is>
      </c>
      <c r="G7" s="38" t="inlineStr">
        <is>
          <t>每次必须检查标题、五点、描述、A+、主图及视频，缺少该模块标记“不适用”。发现的错误全部修正并核验后验收；检查包含在纠错分中。修复自己造成的错误不新增分。同一纠错成果不再计图片、A+或视频修改分。</t>
        </is>
      </c>
    </row>
    <row r="8" ht="41.65" customHeight="1" s="39">
      <c r="A8" s="37" t="inlineStr">
        <is>
          <t>Listing内容维护</t>
        </is>
      </c>
      <c r="B8" s="7" t="inlineStr">
        <is>
          <t>重新编写标题</t>
        </is>
      </c>
      <c r="C8" s="7" t="inlineStr">
        <is>
          <t>重新编写标题，以登记的问题及目标为依据进行实质调整。</t>
        </is>
      </c>
      <c r="D8"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E8" s="38" t="inlineStr">
        <is>
          <t>每个Listing标题：2分。</t>
        </is>
      </c>
      <c r="F8" s="38" t="inlineStr">
        <is>
          <t>问题依据、修改前后内容、上线核验、复盘日期及结论。</t>
        </is>
      </c>
      <c r="G8" s="38" t="inlineStr">
        <is>
          <t>内容验收及复盘完成；同轮修改合并，未复盘不另计新优化分。</t>
        </is>
      </c>
    </row>
    <row r="9" ht="41.65" customHeight="1" s="39">
      <c r="A9" s="37" t="inlineStr">
        <is>
          <t>Listing内容维护</t>
        </is>
      </c>
      <c r="B9" s="7" t="inlineStr">
        <is>
          <t>重新编写五点</t>
        </is>
      </c>
      <c r="C9" s="7" t="inlineStr">
        <is>
          <t>重新编写五点，以登记的问题及目标为依据进行实质调整。</t>
        </is>
      </c>
      <c r="D9"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 不按单条五点分别计分。</t>
        </is>
      </c>
      <c r="E9" s="38" t="inlineStr">
        <is>
          <t>每个Listing的一套五点：3分。
不论本轮重写其中1点、几点或全部五点，均计3分。</t>
        </is>
      </c>
      <c r="F9" s="38" t="inlineStr">
        <is>
          <t>问题依据、修改前后内容、上线核验、复盘日期及结论。</t>
        </is>
      </c>
      <c r="G9" s="38" t="inlineStr">
        <is>
          <t>内容验收及复盘完成；同轮修改合并，未复盘不另计新优化分。</t>
        </is>
      </c>
    </row>
    <row r="10" ht="41.65" customHeight="1" s="39">
      <c r="A10" s="37" t="inlineStr">
        <is>
          <t>Listing内容维护</t>
        </is>
      </c>
      <c r="B10" s="7" t="inlineStr">
        <is>
          <t>重新编写描述</t>
        </is>
      </c>
      <c r="C10" s="7" t="inlineStr">
        <is>
          <t>重新编写描述，以登记的问题及目标为依据进行实质调整。</t>
        </is>
      </c>
      <c r="D10"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E10" s="38" t="inlineStr">
        <is>
          <t>每个Listing的一份描述：3分。</t>
        </is>
      </c>
      <c r="F10" s="38" t="inlineStr">
        <is>
          <t>问题依据、修改前后内容、上线核验、复盘日期及结论。</t>
        </is>
      </c>
      <c r="G10" s="38" t="inlineStr">
        <is>
          <t>内容验收及复盘完成；同轮修改合并，未复盘不另计新优化分。</t>
        </is>
      </c>
    </row>
    <row r="11" ht="41.65" customHeight="1" s="39">
      <c r="A11" s="37" t="inlineStr">
        <is>
          <t>Listing内容维护</t>
        </is>
      </c>
      <c r="B11" s="7" t="inlineStr">
        <is>
          <t>重新整理Generic Keywords</t>
        </is>
      </c>
      <c r="C11" s="7" t="inlineStr">
        <is>
          <t>重新整理Generic Keywords，以登记的问题及目标为依据进行实质调整。</t>
        </is>
      </c>
      <c r="D11"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E11" s="38" t="inlineStr">
        <is>
          <t>每个Listing的一套Generic Keywords：2分。</t>
        </is>
      </c>
      <c r="F11" s="38" t="inlineStr">
        <is>
          <t>问题依据、修改前后内容、上线核验、复盘日期及结论。</t>
        </is>
      </c>
      <c r="G11" s="38" t="inlineStr">
        <is>
          <t>内容验收及复盘完成；同轮修改合并，未复盘不另计新优化分。</t>
        </is>
      </c>
    </row>
    <row r="12" ht="69.40000000000001" customHeight="1" s="39">
      <c r="A12" s="37" t="inlineStr">
        <is>
          <t>Listing内容维护</t>
        </is>
      </c>
      <c r="B12" s="7" t="inlineStr">
        <is>
          <t>全新制作或完全重做A+</t>
        </is>
      </c>
      <c r="C12" s="7" t="inlineStr">
        <is>
          <t>全新制作或完全重做A+，以登记的问题及目标为依据进行实质调整。</t>
        </is>
      </c>
      <c r="D12"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 新建分包含制作、提交、首次SKU绑定与核验，不另加首次绑定分。后续新任务增加SKU按1分/SKU。完全重做不得同时计“A+制作发布”与优化项目；同一成果只计一次。</t>
        </is>
      </c>
      <c r="E12" s="38" t="inlineStr">
        <is>
          <t>每份独立A+：10分。
多个SKU共用同一份，只计10分；不同内容按份数相加。</t>
        </is>
      </c>
      <c r="F12" s="38" t="inlineStr">
        <is>
          <t>问题依据、修改前后内容、上线核验、复盘日期及结论。</t>
        </is>
      </c>
      <c r="G12" s="38" t="inlineStr">
        <is>
          <t>内容验收及复盘完成；同轮修改合并，未复盘不另计新优化分。</t>
        </is>
      </c>
    </row>
    <row r="13" ht="55.5" customHeight="1" s="39">
      <c r="A13" s="37" t="inlineStr">
        <is>
          <t>Listing内容维护</t>
        </is>
      </c>
      <c r="B13" s="7" t="inlineStr">
        <is>
          <t>A+内容增删修改</t>
        </is>
      </c>
      <c r="C13" s="7" t="inlineStr">
        <is>
          <t>增加信息、删除信息或局部修改A+内容；包括新增或删除整个模块。</t>
        </is>
      </c>
      <c r="D13" s="38" t="inlineStr">
        <is>
          <t>同一模块内增加、删除或修改多处信息只计一次2分；同一轮反复调整不重复计分。全新制作或完全重做按10分/份，不叠加局部修改分。仅增加绑定SKU归A+制作发布，按1分/SKU。单纯事实纠错按Listing纠错计分。以优化为目的的修改执行优化登记与复盘规则。</t>
        </is>
      </c>
      <c r="E13" s="38" t="inlineStr">
        <is>
          <t>每个实际修改的模块：2分。
新增或删除整个模块也按2分/模块计。
同一份A+同一轮累计最高10分。</t>
        </is>
      </c>
      <c r="F13" s="38" t="inlineStr">
        <is>
          <t>问题依据、修改前后内容、上线核验、复盘日期及结论。</t>
        </is>
      </c>
      <c r="G13" s="38" t="inlineStr">
        <is>
          <t>指定增删修改完成并核验；以优化为目的时还需完成复盘。单纯纠错按纠错规则验收。</t>
        </is>
      </c>
    </row>
    <row r="14" ht="55.5" customHeight="1" s="39">
      <c r="A14" s="37" t="inlineStr">
        <is>
          <t>Listing内容维护</t>
        </is>
      </c>
      <c r="B14" s="7" t="inlineStr">
        <is>
          <t>变体关系维护</t>
        </is>
      </c>
      <c r="C14" s="7" t="inlineStr">
        <is>
          <t>处理原变体异常后的重新组合、异常ASIN拆分重组、SKU加入已有变体、变体选项修正，以及原独立商品组成新变体。</t>
        </is>
      </c>
      <c r="D14" s="38" t="inlineStr">
        <is>
          <t>按同一次安排中的一个独立变体处理方案计分，包含核对、拆分、解绑、加入、重建及核验。基础分只取适用最高档，不逐项累加。多个SKU共同组成同一变体算一个方案；互不相关的问题分别计分。跨多个父体完成同一次迁移或重组仍算一个方案。新品上架或其他异常处理已包含的相同工作不重复计分。</t>
        </is>
      </c>
      <c r="E14" s="38" t="inlineStr">
        <is>
          <t>一个站点、同一次安排中的一个独立处理方案；登记涉及的SKU、ASIN、原父体及目标父体。</t>
        </is>
      </c>
      <c r="F14" s="38" t="inlineStr">
        <is>
          <t>原关系清单、问题或修改依据、处理方案、执行记录及调整后关系清单。</t>
        </is>
      </c>
      <c r="G14" s="38" t="inlineStr">
        <is>
          <t>按确认方案完成关系及选项调整，核验父子对应、选项名称和展示结果；失败或待生效事项单独记录，重复提交及返工不新增分数。</t>
        </is>
      </c>
    </row>
    <row r="15" ht="41.65" customHeight="1" s="39">
      <c r="A15" s="37" t="inlineStr">
        <is>
          <t>Listing内容维护</t>
        </is>
      </c>
      <c r="B15" s="7" t="inlineStr">
        <is>
          <t>图片维护</t>
        </is>
      </c>
      <c r="C15" s="7" t="inlineStr">
        <is>
          <t>根据负责人提供的图片完成老Listing主图、辅图的上传、替换、删除和排序；根据Listing问题或优化要求更新产品图片</t>
        </is>
      </c>
      <c r="D15" s="38" t="inlineStr">
        <is>
          <t>取得可用图片后上传并核验；未取得图片标记“待图片”，暂停时限，齐备后恢复剩余时限。仅需协调取图的SKU用1.3。样品备货与拍摄协调另计独立任务；同一上传成果不重复计分。</t>
        </is>
      </c>
      <c r="E15" s="38" t="inlineStr">
        <is>
          <t>每个SKU：2分。
每个SKU上传自己的产品图片；不按批量降低分值。</t>
        </is>
      </c>
      <c r="F15" s="38" t="inlineStr">
        <is>
          <t>任务/OA编号、SKU或内容编号、执行记录及验收证据。</t>
        </is>
      </c>
      <c r="G15" s="38" t="inlineStr">
        <is>
          <t>按任务范围完成并核验，未完成事项与外部等待另行标记，不以提交代替完成。</t>
        </is>
      </c>
    </row>
    <row r="16" ht="55.5" customHeight="1" s="39">
      <c r="A16" s="37" t="inlineStr">
        <is>
          <t>价格管理</t>
        </is>
      </c>
      <c r="B16" s="7" t="inlineStr">
        <is>
          <t>价格调整</t>
        </is>
      </c>
      <c r="C16" s="7" t="inlineStr">
        <is>
          <t>按负责人提供的SKU及明确目标价格，修改适用价格字段并核验生效结果。</t>
        </is>
      </c>
      <c r="D16" s="38" t="inlineStr">
        <is>
          <t>按负责人提供的SKU及目标价格完成调整，并核验实际生效价格。同一次安排中的多个SKU，即使目标价格不同，仍按一个批次计分。OA拆成多条记录、分文件上传、失败重试不增加批次。原价格维护及单纯改价异常合并为本项；Buy Box异常处理已包含的改价不重复计分。</t>
        </is>
      </c>
      <c r="E16" s="38" t="inlineStr">
        <is>
          <t>同一次安排的一批改价任务。</t>
        </is>
      </c>
      <c r="F16" s="38" t="inlineStr">
        <is>
          <t>任务编号、SKU及目标价格清单、修改记录及生效核验结果。</t>
        </is>
      </c>
      <c r="G16" s="38" t="inlineStr">
        <is>
          <t>指定价格已正确调整并完成核验；失败、未生效或等待事项单独记录。</t>
        </is>
      </c>
    </row>
    <row r="17" ht="55.5" customHeight="1" s="39">
      <c r="A17" s="37" t="inlineStr">
        <is>
          <t>价格管理</t>
        </is>
      </c>
      <c r="B17" s="7" t="inlineStr">
        <is>
          <t>Buy Box异常处理</t>
        </is>
      </c>
      <c r="C17" s="7" t="inlineStr">
        <is>
          <t>核查对应商品售价及运费并保存截图，整理材料、开Case、按回复处理并跟进Buy Box状态。</t>
        </is>
      </c>
      <c r="D17" s="38" t="inlineStr">
        <is>
          <t>包含售价及运费核查、截图取证、整理材料、开Case及后续跟进。同一任务不按Case数量、重试次数或处理时长加分；已包含的改价不另计分。恢复后核验验收；未恢复时提交取证截图、Case编号及最终回复，经负责人确认阶段结案后也计3分。处理中暂不结算，阶段结案后恢复不再重复计分。</t>
        </is>
      </c>
      <c r="E17" s="38" t="inlineStr">
        <is>
          <t>每个独立Buy Box异常处理任务：3分。
同站点、同ASIN、同原因的连续异常算一个任务；多个ASIN共用同一套证据与处理过程时合并计分。</t>
        </is>
      </c>
      <c r="F17" s="38" t="inlineStr">
        <is>
          <t>取证截图、商品及站点标识、Case编号或链接、平台最终回复、Buy Box核验结果；未恢复需附负责人阶段结案确认。</t>
        </is>
      </c>
      <c r="G17" s="38" t="inlineStr">
        <is>
          <t>工作完成状态与Buy Box结果分开记录。恢复后核验通过，或未恢复但凭证齐全并经负责人确认阶段结案，计3分。仍处理中暂不结算；同一任务累计不超过3分。</t>
        </is>
      </c>
    </row>
    <row r="18" ht="41.65" customHeight="1" s="39">
      <c r="A18" s="37" t="inlineStr">
        <is>
          <t>价格管理</t>
        </is>
      </c>
      <c r="B18" s="7" t="inlineStr">
        <is>
          <t>主动价格优化</t>
        </is>
      </c>
      <c r="C18" s="7" t="inlineStr">
        <is>
          <t>主动发现价格异常或价格机会，说明调整原因并完成相关价格字段修改</t>
        </is>
      </c>
      <c r="D18" s="38" t="inlineStr">
        <is>
          <t>按实际发起来源选择唯一计分路径：负责人安排的工作计任务积分；员工自主发现并发起的改善仅按主动改善2/4/6分档认定，不再叠加任务积分。员工先提出建议、经负责人批准后执行，仍属主动改善；补建任务或认领变化不改变来源。</t>
        </is>
      </c>
      <c r="E18" s="38" t="inlineStr">
        <is>
          <t>一个站点的一项采纳方案及执行批次；登记SKU数量</t>
        </is>
      </c>
      <c r="F18" s="38" t="inlineStr">
        <is>
          <t>发现依据、调整建议及确认记录、执行清单、结果核验。</t>
        </is>
      </c>
      <c r="G18" s="38" t="inlineStr">
        <is>
          <t>说明问题或机会，方案经确认后正确执行；需复盘时约定观察期；同一问题的发现和执行按预定范围计一次。</t>
        </is>
      </c>
    </row>
    <row r="19" ht="55.5" customHeight="1" s="39">
      <c r="A19" s="37" t="inlineStr">
        <is>
          <t>促销管理</t>
        </is>
      </c>
      <c r="B19" s="7" t="inlineStr">
        <is>
          <t>Coupon与Promotion创建</t>
        </is>
      </c>
      <c r="C19" s="7" t="inlineStr">
        <is>
          <t>按负责人明确的优惠方案创建Coupon或Promotion，设置商品、优惠条件和活动时间，提交并核验。</t>
        </is>
      </c>
      <c r="D19" s="38" t="inlineStr">
        <is>
          <t>按明确优惠方案创建并核验；每个独立活动3分。创建或提报过程中的报错、参数修正、失败重试及重新提交，包含在原任务分值内，不另计异常处理分。修复本人操作造成的问题不新增积分。已上线活动后续出现新的独立问题，另行界定任务，不自动重复领取创建或提报分。</t>
        </is>
      </c>
      <c r="E19" s="38" t="inlineStr">
        <is>
          <t>每个实际独立创建的活动；记录活动编号及类型。</t>
        </is>
      </c>
      <c r="F19" s="38" t="inlineStr">
        <is>
          <t>活动编号、商品清单、优惠条件、时间、提交记录及核验结果。</t>
        </is>
      </c>
      <c r="G19" s="38" t="inlineStr">
        <is>
          <t>活动设置与任务要求一致；完成提交与结果核验，失败或待生效事项单独记录。</t>
        </is>
      </c>
    </row>
    <row r="20" ht="41.65" customHeight="1" s="39">
      <c r="A20" s="37" t="inlineStr">
        <is>
          <t>促销管理</t>
        </is>
      </c>
      <c r="B20" s="7" t="inlineStr">
        <is>
          <t>Deal活动提报</t>
        </is>
      </c>
      <c r="C20" s="7" t="inlineStr">
        <is>
          <t>按要求核对Deal商品资料及参数，完成提报并核验提交结果。</t>
        </is>
      </c>
      <c r="D20" s="38" t="inlineStr">
        <is>
          <t>创建或提报过程中的报错、参数修正、失败重试及重新提交，包含在原任务分值内，不另计异常处理分。修复本人操作造成的问题不新增积分。已上线活动后续出现新的独立问题，另行界定任务，不自动重复领取创建或提报分。</t>
        </is>
      </c>
      <c r="E20" s="38" t="inlineStr">
        <is>
          <t>每个实际独立提报的Deal：2分。
不按包含的SKU数量增加；5个独立Deal计10分。</t>
        </is>
      </c>
      <c r="F20" s="38" t="inlineStr">
        <is>
          <t>Deal编号、商品清单、参数及资料核对记录、提交结果和平台审批状态。</t>
        </is>
      </c>
      <c r="G20" s="38" t="inlineStr">
        <is>
          <t>资料及参数符合要求，完成提报及提交结果核验后计分。平台是否批准单独记录，不以审批通过作为唯一验收条件。</t>
        </is>
      </c>
    </row>
    <row r="21" ht="69.40000000000001" customHeight="1" s="39">
      <c r="A21" s="37" t="inlineStr">
        <is>
          <t>广告新建</t>
        </is>
      </c>
      <c r="B21" s="7" t="inlineStr">
        <is>
          <t>SP广告创建</t>
        </is>
      </c>
      <c r="C21" s="7" t="inlineStr">
        <is>
          <t>按任务要求创建SP Campaign，完成初始设置，并在Ads Change认领变化、创建或关联任务、填写创建原因。</t>
        </is>
      </c>
      <c r="D21" s="38"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新建Campaign必要的命名和归组包含在创建分中。</t>
        </is>
      </c>
      <c r="E21" s="38" t="inlineStr">
        <is>
          <t>每个独立Campaign计3分，不区分广告组、商品、目标、素材或落地页数量。</t>
        </is>
      </c>
      <c r="F21" s="38" t="inlineStr">
        <is>
          <t>广告账户及站点、Campaign ID、Ads Change记录、认领人、任务编号、创建原因及核验结果。</t>
        </is>
      </c>
      <c r="G21" s="38" t="inlineStr">
        <is>
          <t>Campaign创建及初始设置符合任务要求；完成变化认领、任务关联、原因填写和结果核验后计分。失败重试不新增创建分。</t>
        </is>
      </c>
    </row>
    <row r="22" ht="83.25" customHeight="1" s="39">
      <c r="A22" s="37" t="inlineStr">
        <is>
          <t>广告新建</t>
        </is>
      </c>
      <c r="B22" s="7" t="inlineStr">
        <is>
          <t>SB广告创建</t>
        </is>
      </c>
      <c r="C22" s="7" t="inlineStr">
        <is>
          <t>按任务要求创建SB Campaign，完成初始设置，并在Ads Change认领变化、创建或关联任务、填写创建原因。</t>
        </is>
      </c>
      <c r="D22" s="38"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SBV只按SBV项目计分，不再同时计SB创建分。 新建Campaign必要的命名和归组包含在创建分中。</t>
        </is>
      </c>
      <c r="E22" s="38" t="inlineStr">
        <is>
          <t>每个独立Campaign计4分，不区分广告组、商品、目标、素材或落地页数量。</t>
        </is>
      </c>
      <c r="F22" s="38" t="inlineStr">
        <is>
          <t>广告账户及站点、Campaign ID、Ads Change记录、认领人、任务编号、创建原因及核验结果。</t>
        </is>
      </c>
      <c r="G22" s="38" t="inlineStr">
        <is>
          <t>Campaign创建及初始设置符合任务要求；完成变化认领、任务关联、原因填写和结果核验后计分。失败重试不新增创建分。</t>
        </is>
      </c>
    </row>
    <row r="23" ht="83.25" customHeight="1" s="39">
      <c r="A23" s="37" t="inlineStr">
        <is>
          <t>广告新建</t>
        </is>
      </c>
      <c r="B23" s="7" t="inlineStr">
        <is>
          <t>SBV广告创建</t>
        </is>
      </c>
      <c r="C23" s="7" t="inlineStr">
        <is>
          <t>按任务要求创建SBV Campaign，完成初始设置，并在Ads Change认领变化、创建或关联任务、填写创建原因。</t>
        </is>
      </c>
      <c r="D23" s="38"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SBV只按SBV项目计分，不再同时计SB创建分。 新建Campaign必要的命名和归组包含在创建分中。</t>
        </is>
      </c>
      <c r="E23" s="38" t="inlineStr">
        <is>
          <t>每个独立Campaign计4分，不区分广告组、商品、目标、素材或落地页数量。</t>
        </is>
      </c>
      <c r="F23" s="38" t="inlineStr">
        <is>
          <t>广告账户及站点、Campaign ID、Ads Change记录、认领人、任务编号、创建原因及核验结果。</t>
        </is>
      </c>
      <c r="G23" s="38" t="inlineStr">
        <is>
          <t>Campaign创建及初始设置符合任务要求；完成变化认领、任务关联、原因填写和结果核验后计分。失败重试不新增创建分。</t>
        </is>
      </c>
    </row>
    <row r="24" ht="69.40000000000001" customHeight="1" s="39">
      <c r="A24" s="37" t="inlineStr">
        <is>
          <t>广告新建</t>
        </is>
      </c>
      <c r="B24" s="7" t="inlineStr">
        <is>
          <t>SD广告创建</t>
        </is>
      </c>
      <c r="C24" s="7" t="inlineStr">
        <is>
          <t>按任务要求创建SD Campaign，完成初始设置，并在Ads Change认领变化、创建或关联任务、填写创建原因。</t>
        </is>
      </c>
      <c r="D24" s="38"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新建Campaign必要的命名和归组包含在创建分中。</t>
        </is>
      </c>
      <c r="E24" s="38" t="inlineStr">
        <is>
          <t>每个独立Campaign计4分，不区分广告组、商品、目标、素材或落地页数量。</t>
        </is>
      </c>
      <c r="F24" s="38" t="inlineStr">
        <is>
          <t>广告账户及站点、Campaign ID、Ads Change记录、认领人、任务编号、创建原因及核验结果。</t>
        </is>
      </c>
      <c r="G24" s="38" t="inlineStr">
        <is>
          <t>Campaign创建及初始设置符合任务要求；完成变化认领、任务关联、原因填写和结果核验后计分。失败重试不新增创建分。</t>
        </is>
      </c>
    </row>
    <row r="25" ht="55.5" customHeight="1" s="39">
      <c r="A25" s="37" t="inlineStr">
        <is>
          <t>广告调整</t>
        </is>
      </c>
      <c r="B25" s="7" t="inlineStr">
        <is>
          <t>广告执行调整</t>
        </is>
      </c>
      <c r="C25" s="7" t="inlineStr">
        <is>
          <t>按指定要求执行关键词与搜索词调整、否定投放调整、广告产品归组与补充、ASIN与商品投放调整、Bid与投放位置调整。</t>
        </is>
      </c>
      <c r="D25" s="38" t="inlineStr">
        <is>
          <t>仅用于负责人已明确具体要求的执行工作。同一次安排、同一调整目的合计基础分，多个明细关联同一任务不逐行叠加；独立目的的任务分别计分。不按对象、Campaign或Ads Change数量加分。认领变化、关联任务、填写原因并核验。员工自主发起改善仅计主动分，同一工作不重复计分。</t>
        </is>
      </c>
      <c r="E25" s="38" t="inlineStr">
        <is>
          <t>小批量（≤5个Campaign）：2分。
中批量（6—20个Campaign）：3分。
大批量（21个及以上Campaign）：4分。
按同次安排、同一调整目的计。</t>
        </is>
      </c>
      <c r="F25" s="38" t="inlineStr">
        <is>
          <t>负责人要求、任务编号、调整对象及涉及Campaign数量、Ads Change认领记录、原因及核验结果。</t>
        </is>
      </c>
      <c r="G25" s="38" t="inlineStr">
        <is>
          <t>具体调整完成并核验；同一任务仅结算一次。按实际涉及Campaign数量选择分档。自行分析的安排任务按Campaign优化计分，自主发起只计主动分。</t>
        </is>
      </c>
    </row>
    <row r="26" ht="55.5" customHeight="1" s="39">
      <c r="A26" s="37" t="inlineStr">
        <is>
          <t>Listing与账号异常</t>
        </is>
      </c>
      <c r="B26" s="7" t="inlineStr">
        <is>
          <t>Listing异常申诉与Case处理</t>
        </is>
      </c>
      <c r="C26" s="7" t="inlineStr">
        <is>
          <t>对需要Appeal或Case解决的Listing异常，进行异常核查、材料整理、提交、回复跟进及逐ASIN结果核验。</t>
        </is>
      </c>
      <c r="D26" s="38" t="inlineStr">
        <is>
          <t>包含异常核查、材料整理、Appeal或Case提交、回复跟进及结果核验。同一ASIN同一异常的多次申诉、多个Case或补充材料合并计4分。合并在一个Case中的多个ASIN按个数计分，但须逐个记录处理结果。恢复后验收；未恢复时提交完整记录，经负责人确认阶段结案后计分，后续同一异常恢复不重复领取。已归Buy Box、滞留库存或变体关系维护的同一问题不叠加本项。负责人安排计任务分，自主发起改善仅计主动分。</t>
        </is>
      </c>
      <c r="E26" s="38" t="inlineStr">
        <is>
          <t>每个ASIN的一项独立异常处理：4分。
处理5个ASIN计20分；不再采用ASIN数量分档。
同一ASIN同一异常只计一次。</t>
        </is>
      </c>
      <c r="F26" s="38" t="inlineStr">
        <is>
          <t>站点、ASIN、独立异常说明、任务编号、Appeal或Case编号、材料及平台回复、逐ASIN结果和必要的阶段结案确认。</t>
        </is>
      </c>
      <c r="G26" s="38" t="inlineStr">
        <is>
          <t>逐个ASIN验收。已恢复的核验状态；未恢复的提交完整处理记录，经负责人确认阶段结案后计分，仍保留未恢复状态。同一异常后续恢复不重复计分。</t>
        </is>
      </c>
    </row>
    <row r="27" ht="55.5" customHeight="1" s="39">
      <c r="A27" s="37" t="inlineStr">
        <is>
          <t>Brand Store维护</t>
        </is>
      </c>
      <c r="B27" s="7" t="inlineStr">
        <is>
          <t>二级类目商品维护</t>
        </is>
      </c>
      <c r="C27" s="7" t="inlineStr">
        <is>
          <t>每个二级类目的一次商品更新：2分。
在原有模块内添加、删除或替换商品；不按SKU数量增加。</t>
        </is>
      </c>
      <c r="D27" s="38" t="inlineStr">
        <is>
          <t>按实际二级类目及一次安排计分，例如Motorized Ball Valve下的1/2英寸尺寸类目。记录类目路径和页面标识；同类目多商品更新合并一次，不按SKU数量加分。同一二级类目既改商品又重建模块，只计5分，不计7分。正常提交、反馈修正及核验包含在原任务中；本人本次操作导致的报错修复不新增分。按发起来源选择任务分或主动分，不叠加。</t>
        </is>
      </c>
      <c r="E27" s="38" t="inlineStr">
        <is>
          <t>每个二级类目的一次商品更新：2分。
在原有模块内添加、删除或替换商品；不按SKU数量增加。</t>
        </is>
      </c>
      <c r="F27" s="38" t="inlineStr">
        <is>
          <t>任务编号、站点与店铺、二级类目完整路径、页面标识及前后对照；阻断处理另提供报错截图、修复位置和提交成功记录。</t>
        </is>
      </c>
      <c r="G27" s="38" t="inlineStr">
        <is>
          <t>完成本二级类目约定商品或模块更新、正常审核反馈处理及结果核验；同类目商品与模块配置不重复计分。</t>
        </is>
      </c>
    </row>
    <row r="28" ht="55.5" customHeight="1" s="39">
      <c r="A28" s="37" t="inlineStr">
        <is>
          <t>Brand Store维护</t>
        </is>
      </c>
      <c r="B28" s="7" t="inlineStr">
        <is>
          <t>二级类目模块新增或重建</t>
        </is>
      </c>
      <c r="C28" s="7" t="inlineStr">
        <is>
          <t>每个二级类目的一次模块新增、替换或重建：5分。
包含必要布局、商品配置及核验；不按模块数量增加。</t>
        </is>
      </c>
      <c r="D28" s="38" t="inlineStr">
        <is>
          <t>按实际二级类目及一次安排计分，例如Motorized Ball Valve下的1/2英寸尺寸类目。记录类目路径和页面标识；同类目多商品更新合并一次，不按SKU数量加分。同一二级类目既改商品又重建模块，只计5分，不计7分。正常提交、反馈修正及核验包含在原任务中；本人本次操作导致的报错修复不新增分。按发起来源选择任务分或主动分，不叠加。</t>
        </is>
      </c>
      <c r="E28" s="38" t="inlineStr">
        <is>
          <t>每个二级类目的一次模块新增、替换或重建：5分。
包含必要布局、商品配置及核验；不按模块数量增加。</t>
        </is>
      </c>
      <c r="F28" s="38" t="inlineStr">
        <is>
          <t>任务编号、站点与店铺、二级类目完整路径、页面标识及前后对照；阻断处理另提供报错截图、修复位置和提交成功记录。</t>
        </is>
      </c>
      <c r="G28" s="38" t="inlineStr">
        <is>
          <t>完成本二级类目约定商品或模块更新、正常审核反馈处理及结果核验；同类目商品与模块配置不重复计分。</t>
        </is>
      </c>
    </row>
    <row r="29" ht="55.5" customHeight="1" s="39">
      <c r="A29" s="37" t="inlineStr">
        <is>
          <t>Brand Store维护</t>
        </is>
      </c>
      <c r="B29" s="7" t="inlineStr">
        <is>
          <t>提交阻断问题处理</t>
        </is>
      </c>
      <c r="C29" s="7" t="inlineStr">
        <is>
          <t>每次独立提交任务：3分。
仅限本次更新范围外其他板块的原有报错。</t>
        </is>
      </c>
      <c r="D29" s="38" t="inlineStr">
        <is>
          <t>仅处理本次更新范围之外、其他板块原有报错导致无法提交的问题。须保留报错截图、修复位置和提交成功记录。同一独立提交任务出现多个报错、反复尝试或涉及多个类目，只计一次3分，不按报错或类目数累加。本人本次更新造成的错误属于返工，不计本项。由同一人或不同人处理均按实际工作归属，不能重复领取。</t>
        </is>
      </c>
      <c r="E29" s="38" t="inlineStr">
        <is>
          <t>每次独立提交任务：3分。
仅限本次更新范围外其他板块的原有报错。</t>
        </is>
      </c>
      <c r="F29" s="38" t="inlineStr">
        <is>
          <t>任务编号、站点与店铺、二级类目完整路径、页面标识及前后对照；阻断处理另提供报错截图、修复位置和提交成功记录。</t>
        </is>
      </c>
      <c r="G29" s="38" t="inlineStr">
        <is>
          <t>范围外原有报错已修复，提交成功并记录结果后计3分；同次多个报错不重复计分。</t>
        </is>
      </c>
    </row>
    <row r="30" ht="69.40000000000001" customHeight="1" s="39">
      <c r="A30" s="37" t="inlineStr">
        <is>
          <t>Review、Feedback与客户声音</t>
        </is>
      </c>
      <c r="B30" s="7" t="inlineStr">
        <is>
          <t>VOC数据更新与AI分析</t>
        </is>
      </c>
      <c r="C30" s="7" t="inlineStr">
        <is>
          <t>每周下载数据并保存至数据库，运行AI分析、保存结果并完成基本核验。</t>
        </is>
      </c>
      <c r="D30" s="38" t="inlineStr">
        <is>
          <t>下载本周所需数据并记录期间；保存到数据库，核对导入成功、无明显遗漏或重复；运行AI分析，保存结果并检查是否正常生成及有无明显错误。同一周任务中的多次下载、分文件导入、AI重跑和失败重试合并计分。AI分析不等于员工独立业务分析；后续核实问题、形成建议或推动处理，按独立交付及发起来源另行认定，相同工作不重复计分。</t>
        </is>
      </c>
      <c r="E30" s="38" t="inlineStr">
        <is>
          <t>每周完成一次数据下载、数据库更新、AI分析及基本核验，计2分；不按数据条数分档。</t>
        </is>
      </c>
      <c r="F30" s="38" t="inlineStr">
        <is>
          <t>任务编号、数据期间、源文件、入库记录、AI分析结果及基本核验记录。</t>
        </is>
      </c>
      <c r="G30" s="38" t="inlineStr">
        <is>
          <t>本周数据已下载入库，导入成功且无明显遗漏或重复；AI结果正常生成并保存、无明显错误。只完成下载或只运行AI不算完整任务。</t>
        </is>
      </c>
    </row>
    <row r="31" ht="69.40000000000001" customHeight="1" s="39">
      <c r="A31" s="37" t="inlineStr">
        <is>
          <t>Review、Feedback与客户声音</t>
        </is>
      </c>
      <c r="B31" s="7" t="inlineStr">
        <is>
          <t>Listing问题处理</t>
        </is>
      </c>
      <c r="C31" s="7" t="inlineStr">
        <is>
          <t>根据系统分析结果，修改标题、五点、描述、Generic Keywords、图片、A+或视频，解决评论中发现的Listing问题</t>
        </is>
      </c>
      <c r="D31" s="38" t="inlineStr">
        <is>
          <t>本项作为VOC来源的任务入口；实际修改统一归Listing纠错、优化或素材维护，只保留一个主任务及关联编号。</t>
        </is>
      </c>
      <c r="E31" s="38" t="inlineStr">
        <is>
          <t>一张VOC关联的Listing问题单；登记ASIN和问题数量</t>
        </is>
      </c>
      <c r="F31" s="38" t="inlineStr">
        <is>
          <t>VOC问题与ASIN对应表、主任务编号、处理结论链接。</t>
        </is>
      </c>
      <c r="G31" s="38" t="inlineStr">
        <is>
          <t>问题已转为明确修改要求并关联主任务；实际成果按主任务验收，本入口不另加一次完成量或积分。</t>
        </is>
      </c>
    </row>
    <row r="32" ht="69.40000000000001" customHeight="1" s="39">
      <c r="A32" s="37" t="inlineStr">
        <is>
          <t>Review、Feedback与客户声音</t>
        </is>
      </c>
      <c r="B32" s="7" t="inlineStr">
        <is>
          <t>产品质量问题反馈</t>
        </is>
      </c>
      <c r="C32" s="7" t="inlineStr">
        <is>
          <t>根据系统识别出的质量、功能、尺寸、安装、包装等问题，与产品负责人沟通并跟进处理</t>
        </is>
      </c>
      <c r="D32" s="38" t="inlineStr">
        <is>
          <t>负责将VOC产品问题转给产品负责人并跟进约定节点；同一问题与售后反馈合并；不将产品开发执行计为运营成果。</t>
        </is>
      </c>
      <c r="E32" s="38" t="inlineStr">
        <is>
          <t>一张独立产品问题单；登记产品、问题类型和关联证据数量</t>
        </is>
      </c>
      <c r="F32" s="38" t="inlineStr">
        <is>
          <t>问题证据、影响范围、接收负责人、接收或反馈记录和下一节点。</t>
        </is>
      </c>
      <c r="G32" s="38" t="inlineStr">
        <is>
          <t>反馈信息足以支持判断，责任人已接收并明确处理安排；需持续跟进时完成约定节点，同一问题不按评论条数重复计。</t>
        </is>
      </c>
    </row>
    <row r="33" ht="55.5" customHeight="1" s="39">
      <c r="A33" s="37" t="inlineStr">
        <is>
          <t>库存与配送</t>
        </is>
      </c>
      <c r="B33" s="7" t="inlineStr">
        <is>
          <t>FBA货件问题处理</t>
        </is>
      </c>
      <c r="C33" s="7" t="inlineStr">
        <is>
          <t>查看FBA货件问题并核对情况，按实际情况接受或选择不接受并提交Appeal，完成处理记录。</t>
        </is>
      </c>
      <c r="D33" s="38" t="inlineStr">
        <is>
          <t>每个货件的同一问题计1分。同一货件、同一问题后续查看、重复提交及跟进不重复计分。不以Appeal成功为计分条件。</t>
        </is>
      </c>
      <c r="E33" s="38" t="inlineStr">
        <is>
          <t>每个货件的同一问题计1分。</t>
        </is>
      </c>
      <c r="F33" s="38" t="inlineStr">
        <is>
          <t>任务编号、处理对象及执行结果记录</t>
        </is>
      </c>
      <c r="G33" s="38" t="inlineStr">
        <is>
          <t>完成问题查看、核对及处理操作（接受或提交Appeal），处理记录已保存并核验提交状态。同一货件同一问题不重复计分。</t>
        </is>
      </c>
    </row>
    <row r="34" ht="55.5" customHeight="1" s="39">
      <c r="A34" s="37" t="inlineStr">
        <is>
          <t>库存与配送</t>
        </is>
      </c>
      <c r="B34" s="7" t="inlineStr">
        <is>
          <t>库存冗余折扣上传</t>
        </is>
      </c>
      <c r="C34" s="7" t="inlineStr">
        <is>
          <t>根据程序提供的SKU及折扣方案，完成折扣文件上传，检查处理结果并修正报错。</t>
        </is>
      </c>
      <c r="D34" s="38" t="inlineStr">
        <is>
          <t>同一批拆成多个文件、重复上传或重试不重复计分。不要求员工分析冗余原因或制定折扣方案，不以库存最终售出作为完成条件。与价格调整或促销创建属于同一次交付的，只计一次分。</t>
        </is>
      </c>
      <c r="E34" s="38" t="inlineStr">
        <is>
          <t>同一次安排的一批上传任务计2分，不按SKU数量增加。</t>
        </is>
      </c>
      <c r="F34" s="38" t="inlineStr">
        <is>
          <t>任务编号、处理对象及执行结果记录</t>
        </is>
      </c>
      <c r="G34" s="38" t="inlineStr">
        <is>
          <t>文件上传完成，处理结果已检查，报错已修正并确认生效；同一批次交付记录完整。</t>
        </is>
      </c>
    </row>
    <row r="35" ht="29.25" customHeight="1" s="39">
      <c r="A35" s="37" t="inlineStr">
        <is>
          <t>库存管理</t>
        </is>
      </c>
      <c r="B35" s="7" t="inlineStr">
        <is>
          <t>滞留库存—移除库存</t>
        </is>
      </c>
      <c r="C35" s="7" t="inlineStr">
        <is>
          <t>成功创建移除订单，核对SKU、数量及处理方式，保存订单编号。</t>
        </is>
      </c>
      <c r="D35"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5" s="38" t="inlineStr">
        <is>
          <t>每批2分，不按SKU数量增加。</t>
        </is>
      </c>
      <c r="F35" s="38" t="inlineStr">
        <is>
          <t>SKU、原因、处理方式及相应订单／Case／资料记录</t>
        </is>
      </c>
      <c r="G35" s="38" t="inlineStr">
        <is>
          <t>成功创建移除订单，核对SKU、数量及处理方式，保存订单编号。</t>
        </is>
      </c>
    </row>
    <row r="36" ht="29.25" customHeight="1" s="39">
      <c r="A36" s="37" t="inlineStr">
        <is>
          <t>库存管理</t>
        </is>
      </c>
      <c r="B36" s="7" t="inlineStr">
        <is>
          <t>滞留库存—Relist重新发布</t>
        </is>
      </c>
      <c r="C36" s="7" t="inlineStr">
        <is>
          <t>完成重新发布，核验发布结果及滞留状态，保留处理记录。</t>
        </is>
      </c>
      <c r="D36"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6" s="38" t="inlineStr">
        <is>
          <t>每批2分，不按SKU数量增加。</t>
        </is>
      </c>
      <c r="F36" s="38" t="inlineStr">
        <is>
          <t>SKU、原因、处理方式及相应订单／Case／资料记录</t>
        </is>
      </c>
      <c r="G36" s="38" t="inlineStr">
        <is>
          <t>完成重新发布，核验发布结果及滞留状态，保留处理记录。</t>
        </is>
      </c>
    </row>
    <row r="37" ht="41.65" customHeight="1" s="39">
      <c r="A37" s="37" t="inlineStr">
        <is>
          <t>库存管理</t>
        </is>
      </c>
      <c r="B37" s="7" t="inlineStr">
        <is>
          <t>滞留库存—申诉或Case处理</t>
        </is>
      </c>
      <c r="C37" s="7" t="inlineStr">
        <is>
          <t>核对原因、提交申诉或Case并跟进；问题解决，或材料及处理记录完整、由负责人确认阶段结案。</t>
        </is>
      </c>
      <c r="D37"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7" s="38" t="inlineStr">
        <is>
          <t>每个独立问题3分，不按Case或提交次数增加。</t>
        </is>
      </c>
      <c r="F37" s="38" t="inlineStr">
        <is>
          <t>SKU、原因、处理方式及相应订单／Case／资料记录</t>
        </is>
      </c>
      <c r="G37" s="38" t="inlineStr">
        <is>
          <t>核对原因、提交申诉或Case并跟进；问题解决，或材料及处理记录完整、由负责人确认阶段结案。</t>
        </is>
      </c>
    </row>
    <row r="38" ht="55.5" customHeight="1" s="39">
      <c r="A38" s="37" t="inlineStr">
        <is>
          <t>库存管理</t>
        </is>
      </c>
      <c r="B38" s="7" t="inlineStr">
        <is>
          <t>滞留库存—已有电池／化学品资料提交</t>
        </is>
      </c>
      <c r="C38" s="7" t="inlineStr">
        <is>
          <t>核对资料与SKU的对应关系，提交并跟进审核结果，保存资料版本及处理记录。</t>
        </is>
      </c>
      <c r="D38"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8" s="38" t="inlineStr">
        <is>
          <t>使用已有完整资料完成一批提交，计2分。</t>
        </is>
      </c>
      <c r="F38" s="38" t="inlineStr">
        <is>
          <t>SKU、原因、处理方式及相应订单／Case／资料记录</t>
        </is>
      </c>
      <c r="G38" s="38" t="inlineStr">
        <is>
          <t>核对资料与SKU的对应关系，提交并跟进审核结果，保存资料版本及处理记录。</t>
        </is>
      </c>
    </row>
    <row r="39" ht="69.40000000000001" customHeight="1" s="39">
      <c r="A39" s="37" t="inlineStr">
        <is>
          <t>库存管理</t>
        </is>
      </c>
      <c r="B39" s="7" t="inlineStr">
        <is>
          <t>滞留库存—电池／化学品资料协调与提交</t>
        </is>
      </c>
      <c r="C39" s="7" t="inlineStr">
        <is>
          <t>协调取得可用资料，核对SKU对应关系，完成提交并跟进审核结果；已包含资料提交，不再加计2分。</t>
        </is>
      </c>
      <c r="D39"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9" s="38" t="inlineStr">
        <is>
          <t>需协调获取资料、核对并完成一批提交，计3分。</t>
        </is>
      </c>
      <c r="F39" s="38" t="inlineStr">
        <is>
          <t>SKU、原因、处理方式及相应订单／Case／资料记录</t>
        </is>
      </c>
      <c r="G39" s="38" t="inlineStr">
        <is>
          <t>协调取得可用资料，核对SKU对应关系，完成提交并跟进审核结果；已包含资料提交，不再加计2分。</t>
        </is>
      </c>
    </row>
    <row r="40" ht="69.40000000000001" customHeight="1" s="39">
      <c r="A40" s="37" t="n"/>
      <c r="B40" s="7" t="n"/>
      <c r="C40" s="7" t="n"/>
      <c r="D40" s="38" t="n"/>
      <c r="E40" s="38" t="n"/>
      <c r="F40" s="38" t="n"/>
      <c r="G40" s="38" t="n"/>
    </row>
    <row r="41" ht="69.40000000000001" customHeight="1" s="39">
      <c r="A41" s="37" t="n"/>
      <c r="B41" s="7" t="n"/>
      <c r="C41" s="7" t="n"/>
      <c r="D41" s="38" t="n"/>
      <c r="E41" s="38" t="n"/>
      <c r="F41" s="38" t="n"/>
      <c r="G41" s="38" t="n"/>
    </row>
    <row r="42" ht="69.40000000000001" customHeight="1" s="39">
      <c r="A42" s="37" t="n"/>
      <c r="B42" s="7" t="n"/>
      <c r="C42" s="7" t="n"/>
      <c r="D42" s="38" t="n"/>
      <c r="E42" s="38" t="n"/>
      <c r="F42" s="38" t="n"/>
      <c r="G42" s="38" t="n"/>
    </row>
    <row r="43" ht="69.40000000000001" customHeight="1" s="39">
      <c r="A43" s="37" t="n"/>
      <c r="B43" s="7" t="n"/>
      <c r="C43" s="7" t="n"/>
      <c r="D43" s="38" t="n"/>
      <c r="E43" s="38" t="n"/>
      <c r="F43" s="38" t="n"/>
      <c r="G43" s="38" t="n"/>
    </row>
    <row r="44" ht="14.6" customHeight="1" s="39">
      <c r="A44" s="37" t="n"/>
      <c r="B44" s="7" t="n"/>
      <c r="C44" s="7" t="n"/>
      <c r="D44" s="38" t="n"/>
      <c r="E44" s="38" t="n"/>
      <c r="F44" s="38" t="n"/>
      <c r="G44" s="38" t="n"/>
    </row>
    <row r="45" ht="14.6" customHeight="1" s="39">
      <c r="A45" s="37" t="n"/>
      <c r="B45" s="7" t="n"/>
      <c r="C45" s="7" t="n"/>
      <c r="D45" s="38" t="n"/>
      <c r="E45" s="38" t="n"/>
      <c r="F45" s="38" t="n"/>
      <c r="G45" s="38" t="n"/>
    </row>
    <row r="46" ht="14.6" customHeight="1" s="39">
      <c r="A46" s="37" t="n"/>
      <c r="B46" s="7" t="n"/>
      <c r="C46" s="7" t="n"/>
      <c r="D46" s="38" t="n"/>
      <c r="E46" s="38" t="n"/>
      <c r="F46" s="38" t="n"/>
      <c r="G46" s="38" t="n"/>
    </row>
    <row r="47" ht="14.6" customHeight="1" s="39">
      <c r="A47" s="2" t="n"/>
      <c r="B47" s="2" t="n"/>
      <c r="C47" s="2" t="n"/>
      <c r="D47" s="2" t="n"/>
      <c r="E47" s="2" t="n"/>
      <c r="F47" s="2" t="n"/>
      <c r="G47" s="2" t="n"/>
    </row>
    <row r="48" ht="14.6" customHeight="1" s="39">
      <c r="A48" s="2" t="n"/>
      <c r="B48" s="2" t="n"/>
      <c r="C48" s="2" t="n"/>
      <c r="D48" s="2" t="n"/>
      <c r="E48" s="2" t="n"/>
      <c r="F48" s="2" t="n"/>
      <c r="G48" s="2" t="n"/>
    </row>
    <row r="49" ht="14.6" customHeight="1" s="39">
      <c r="A49" s="2" t="n"/>
      <c r="B49" s="2" t="n"/>
      <c r="C49" s="2" t="n"/>
      <c r="D49" s="2" t="n"/>
      <c r="E49" s="2" t="n"/>
      <c r="F49" s="2" t="n"/>
      <c r="G49" s="2" t="n"/>
    </row>
    <row r="50" ht="14.6" customHeight="1" s="39">
      <c r="A50" s="2" t="n"/>
      <c r="B50" s="2" t="n"/>
      <c r="C50" s="2" t="n"/>
      <c r="D50" s="2" t="n"/>
      <c r="E50" s="2" t="n"/>
      <c r="F50" s="2" t="n"/>
      <c r="G50" s="2" t="n"/>
    </row>
    <row r="51" ht="13.85" customHeight="1" s="39">
      <c r="A51" s="2" t="n"/>
      <c r="B51" s="2" t="n"/>
      <c r="C51" s="2" t="n"/>
      <c r="D51" s="2" t="n"/>
      <c r="E51" s="2" t="n"/>
      <c r="F51" s="2" t="n"/>
      <c r="G51" s="2" t="n"/>
    </row>
    <row r="52" ht="13.85" customHeight="1" s="39">
      <c r="A52" s="2" t="n"/>
      <c r="B52" s="2" t="n"/>
      <c r="C52" s="2" t="n"/>
      <c r="D52" s="2" t="n"/>
      <c r="E52" s="2" t="n"/>
      <c r="F52" s="2" t="n"/>
      <c r="G52" s="2" t="n"/>
    </row>
    <row r="53" ht="13.85" customHeight="1" s="39"/>
    <row r="54" ht="13.85" customHeight="1" s="39"/>
    <row r="55" ht="13.85" customHeight="1" s="39"/>
    <row r="56" ht="13.85" customHeight="1" s="39"/>
  </sheetData>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1F4E78"/>
    <outlinePr summaryBelow="1" summaryRight="1"/>
    <pageSetUpPr/>
  </sheetPr>
  <dimension ref="A1:I58"/>
  <sheetViews>
    <sheetView showGridLines="0" tabSelected="1" workbookViewId="0">
      <pane xSplit="2" ySplit="7" topLeftCell="C40" activePane="bottomRight" state="frozen"/>
      <selection activeCell="A1" sqref="A1"/>
      <selection pane="topRight" activeCell="A1" sqref="A1"/>
      <selection pane="bottomLeft" activeCell="A1" sqref="A1"/>
      <selection pane="bottomRight" activeCell="E44" sqref="E44"/>
    </sheetView>
  </sheetViews>
  <sheetFormatPr baseColWidth="8" defaultColWidth="9" defaultRowHeight="12.35"/>
  <cols>
    <col width="18" customWidth="1" style="30" min="1" max="1"/>
    <col width="27" customWidth="1" style="30" min="2" max="2"/>
    <col width="12" customWidth="1" style="30" min="3" max="3"/>
    <col width="13" customWidth="1" style="30" min="4" max="4"/>
    <col width="48" customWidth="1" style="30" min="5" max="5"/>
    <col width="45" customWidth="1" style="30" min="6" max="6"/>
    <col width="15" customWidth="1" style="30" min="7" max="7"/>
    <col width="65" customWidth="1" style="30" min="8" max="8"/>
    <col width="52" customWidth="1" style="30" min="9" max="9"/>
    <col width="10" customWidth="1" style="30" min="10" max="11"/>
    <col width="9" customWidth="1" style="30" min="12" max="16384"/>
  </cols>
  <sheetData>
    <row r="1">
      <c r="A1" s="31" t="n"/>
      <c r="B1" s="31" t="n"/>
      <c r="C1" s="31" t="n"/>
      <c r="D1" s="31" t="n"/>
      <c r="E1" s="31" t="n"/>
      <c r="F1" s="31" t="n"/>
      <c r="G1" s="31" t="n"/>
      <c r="H1" s="31" t="n"/>
    </row>
    <row r="2">
      <c r="A2" s="32" t="inlineStr">
        <is>
          <t>亚马逊运营任务评分：基础分与难度等级</t>
        </is>
      </c>
      <c r="B2" s="31" t="n"/>
      <c r="C2" s="31" t="n"/>
      <c r="D2" s="31" t="n"/>
      <c r="E2" s="31" t="n"/>
      <c r="F2" s="31" t="n"/>
      <c r="G2" s="31" t="n"/>
      <c r="H2" s="31" t="n"/>
    </row>
    <row r="3">
      <c r="A3" s="33" t="inlineStr">
        <is>
          <t>本表是计分规则库，不是月度任务台账。C列为单个计分单位的默认基础分；实际任务按E列累计基础分，再按F列选择系数；G列显示默认单位积分。黄色输入可调整。</t>
        </is>
      </c>
      <c r="B3" s="31" t="n"/>
      <c r="C3" s="31" t="n"/>
      <c r="D3" s="31" t="n"/>
      <c r="E3" s="31" t="n"/>
      <c r="F3" s="31" t="n"/>
      <c r="G3" s="31" t="n"/>
      <c r="H3" s="31" t="n"/>
    </row>
    <row r="4">
      <c r="A4" s="33" t="inlineStr">
        <is>
          <t>各项目按自身计分单位结算：上架按执行组，图片按SKU，五点按套，A+按内容份数或绑定SKU，视频按视频及绑定批次。完整案例见“场景示例”；优化要求见“优化登记与复盘规则”。</t>
        </is>
      </c>
      <c r="B4" s="31" t="n"/>
      <c r="C4" s="31" t="n"/>
      <c r="D4" s="31" t="n"/>
      <c r="E4" s="31" t="n"/>
      <c r="F4" s="31" t="n"/>
      <c r="G4" s="31" t="n"/>
      <c r="H4" s="31" t="n"/>
    </row>
    <row r="5">
      <c r="A5" s="33" t="inlineStr">
        <is>
          <t>计分来源互斥：负责人安排计任务积分（折算最高80分）；员工自主发起改善计主动分（2/4/6分档，月度最高20分）。同一工作不同时计入两部分，主动提出后获批或补建任务仍属主动改善。</t>
        </is>
      </c>
      <c r="B5" s="31" t="n"/>
      <c r="C5" s="31" t="n"/>
      <c r="D5" s="31" t="n"/>
      <c r="E5" s="31" t="n"/>
      <c r="F5" s="31" t="n"/>
      <c r="G5" s="31" t="n"/>
      <c r="H5" s="31" t="n"/>
    </row>
    <row r="6">
      <c r="A6" s="33" t="inlineStr">
        <is>
          <t>上架执行组＝同一次安排、同一执行人、同一站点、能共用一张上架表的SKU集合。OA仍一条一个SKU，以组编号关联。难度按本次需处理关系的不同父体数判断；详见“场景示例”。</t>
        </is>
      </c>
      <c r="B6" s="31" t="n"/>
      <c r="C6" s="31" t="n"/>
      <c r="D6" s="31" t="n"/>
      <c r="E6" s="31" t="n"/>
      <c r="F6" s="31" t="n"/>
      <c r="G6" s="31" t="n"/>
      <c r="H6" s="31" t="n"/>
    </row>
    <row r="7" ht="14.65" customHeight="1" s="39">
      <c r="A7" s="6" t="inlineStr">
        <is>
          <t>一级模块</t>
        </is>
      </c>
      <c r="B7" s="6" t="inlineStr">
        <is>
          <t>工作项目</t>
        </is>
      </c>
      <c r="C7" s="6" t="inlineStr">
        <is>
          <t>基础分</t>
        </is>
      </c>
      <c r="D7" s="6" t="inlineStr">
        <is>
          <t>难度系数</t>
        </is>
      </c>
      <c r="E7" s="6" t="inlineStr">
        <is>
          <t>基础分等级</t>
        </is>
      </c>
      <c r="F7" s="6" t="inlineStr">
        <is>
          <t>难度系数等级</t>
        </is>
      </c>
      <c r="G7" s="6" t="inlineStr">
        <is>
          <t>默认单位积分</t>
        </is>
      </c>
      <c r="H7" s="6" t="inlineStr">
        <is>
          <t>计分说明</t>
        </is>
      </c>
      <c r="I7" s="2" t="inlineStr">
        <is>
          <t>场景示例</t>
        </is>
      </c>
    </row>
    <row r="8" ht="83.25" customHeight="1" s="39">
      <c r="A8" s="7" t="inlineStr">
        <is>
          <t>新品上架</t>
        </is>
      </c>
      <c r="B8" s="7" t="inlineStr">
        <is>
          <t>Listing创建</t>
        </is>
      </c>
      <c r="C8" s="40" t="n">
        <v>5</v>
      </c>
      <c r="D8" s="40" t="n">
        <v>1</v>
      </c>
      <c r="E8" s="7" t="inlineStr">
        <is>
          <t>1个SKU：5分
2个及以上SKU，可共用一张上架表：8分
不能共用上架表：分别分组，每组按上述两档计分
同一表内不再按SKU数量递增加分</t>
        </is>
      </c>
      <c r="F8" s="7" t="inlineStr">
        <is>
          <t>1.0：本组不新增或调整任何父子关系
1.3：本组需处理父子关系，仅涉及1个父体（新建或已有均可）
1.6：本组需处理父子关系，涉及2个及以上不同父体
混合独立SKU和变体SKU时，只统计本次需处理关系的父体数</t>
        </is>
      </c>
      <c r="G8" s="41">
        <f>ROUND(C8*D8,1)</f>
        <v/>
      </c>
      <c r="H8" s="7" t="inlineStr">
        <is>
          <t>上架执行组：同次安排、同一执行人、同站点、可共用一张上架表。每条OA关联组编号。创建人、时间及序号只作候选线索；父体数量去重统计，同一父体多个子SKU只计1个父体。虚拟父体记录不计商品SKU。</t>
        </is>
      </c>
      <c r="I8" s="2" t="n"/>
    </row>
    <row r="9" ht="55.5" customHeight="1" s="39">
      <c r="A9" s="7" t="inlineStr">
        <is>
          <t>新品上架</t>
        </is>
      </c>
      <c r="B9" s="7" t="inlineStr">
        <is>
          <t>图片上传维护</t>
        </is>
      </c>
      <c r="C9" s="40" t="n">
        <v>2</v>
      </c>
      <c r="D9" s="40" t="n">
        <v>1</v>
      </c>
      <c r="E9" s="7" t="inlineStr">
        <is>
          <t>每个SKU：2分。
每个SKU上传自己的产品图片；不按批量降低分值。</t>
        </is>
      </c>
      <c r="F9" s="7" t="inlineStr">
        <is>
          <t>1.0：OA有完整可用图片；或独立样品备货与拍摄协调任务已交付图片。
1.3：OA缺图，需联系产品负责人获取、确认并跟进图片。
等待时间长短不增加系数。</t>
        </is>
      </c>
      <c r="G9" s="41">
        <f>ROUND(C9*D9,1)</f>
        <v/>
      </c>
      <c r="H9" s="7" t="inlineStr">
        <is>
          <t>取得可用图片后上传并核验；未取得图片标记“待图片”，暂停时限，齐备后恢复剩余时限。仅需协调取图的SKU用1.3。样品备货与拍摄协调另计独立任务；同一上传成果不重复计分。</t>
        </is>
      </c>
      <c r="I9" s="2" t="inlineStr">
        <is>
          <t>1个SKU有图：2分；5个SKU有图：10分。
5个SKU均需向负责人取图：13分。</t>
        </is>
      </c>
    </row>
    <row r="10" ht="55.5" customHeight="1" s="39">
      <c r="A10" s="7" t="inlineStr">
        <is>
          <t>产品素材准备</t>
        </is>
      </c>
      <c r="B10" s="7" t="inlineStr">
        <is>
          <t>样品备货与拍摄协调</t>
        </is>
      </c>
      <c r="C10" s="40" t="n">
        <v>5</v>
      </c>
      <c r="D10" s="40" t="n">
        <v>1</v>
      </c>
      <c r="E10" s="7" t="inlineStr">
        <is>
          <t>完成创建备货计划、到货跟进、交接美工拍照、核对并取得可用图片，计5分/完整任务。
各环节合并计分，不按阶段拆分。</t>
        </is>
      </c>
      <c r="F10" s="7" t="inlineStr">
        <is>
          <t>固定1.0；每个完整任务5分，不另加难度系数。</t>
        </is>
      </c>
      <c r="G10" s="41">
        <f>ROUND(C10*D10,1)</f>
        <v/>
      </c>
      <c r="H10" s="7" t="inlineStr">
        <is>
          <t>员工负责创建备货计划、跟进到货、交接美工拍摄及核对收图；系统审核、专人采购、美工拍摄。同一次安排覆盖多个SKU只计一次5分，不按SKU数量、催办次数或等待时长加分。核对并取得可用图片后验收；图片上传另按2分/SKU计分，实际采购、拍照、设计及修图不属于本项员工执行范围。</t>
        </is>
      </c>
      <c r="I10" s="2" t="inlineStr">
        <is>
          <t>1个SKU完整任务5分＋上传2分＝7分。
10个不同SKU共用完整任务5分＋上传20分＝25分。</t>
        </is>
      </c>
    </row>
    <row r="11" ht="41.65" customHeight="1" s="39">
      <c r="A11" s="7" t="inlineStr">
        <is>
          <t>新品上架</t>
        </is>
      </c>
      <c r="B11" s="7" t="inlineStr">
        <is>
          <t>A+制作发布</t>
        </is>
      </c>
      <c r="C11" s="40" t="n">
        <v>10</v>
      </c>
      <c r="D11" s="40" t="n">
        <v>1</v>
      </c>
      <c r="E11" s="7" t="inlineStr">
        <is>
          <t>加入已有A+：1分/SKU。
新建或完全重做A+：10分/独立内容。
共用同一份新A+只计1份；不同内容按实际份数相加。</t>
        </is>
      </c>
      <c r="F11" s="7" t="inlineStr">
        <is>
          <t>固定1.0；按计分单位累计，不另加难度系数。</t>
        </is>
      </c>
      <c r="G11" s="41">
        <f>ROUND(C11*D11,1)</f>
        <v/>
      </c>
      <c r="H11" s="7" t="inlineStr">
        <is>
          <t>新建分包含制作、提交、首次SKU绑定与核验，不另加首次绑定分。后续新任务增加SKU按1分/SKU。完全重做不得同时计“A+制作发布”与优化项目；同一成果只计一次。</t>
        </is>
      </c>
      <c r="I11" s="2" t="inlineStr">
        <is>
          <t>5个SKU加入同一已有A+：5分。
5个SKU共用1份新A+：10分。
分别新建5份A+：50分。</t>
        </is>
      </c>
    </row>
    <row r="12" ht="69.40000000000001" customHeight="1" s="39">
      <c r="A12" s="7" t="inlineStr">
        <is>
          <t>新品上架</t>
        </is>
      </c>
      <c r="B12" s="7" t="inlineStr">
        <is>
          <t>视频上传与信息维护</t>
        </is>
      </c>
      <c r="C12" s="40" t="n">
        <v>3</v>
      </c>
      <c r="D12" s="40" t="n">
        <v>1</v>
      </c>
      <c r="E12" s="7" t="inlineStr">
        <is>
          <t>修改标题等信息：1分/视频/轮。
上传或替换视频：3分/独立视频，含标题、首次ASIN绑定及核验。
已有视频添加ASIN：同视频同批次，1个SKU对应的ASIN计1分，2个及以上计2分；不同视频分别计算。</t>
        </is>
      </c>
      <c r="F12" s="7" t="inlineStr">
        <is>
          <t>固定1.0；按视频及操作类型计分。</t>
        </is>
      </c>
      <c r="G12" s="41">
        <f>ROUND(C12*D12,1)</f>
        <v/>
      </c>
      <c r="H12" s="7" t="inlineStr">
        <is>
          <t>同一视频同一轮，上传或替换已包含标题填写及首次ASIN绑定，不再叠加。已有视频同时修改标题并新增ASIN，可分别计标题修改与绑定分。上传失败重试、重复上传同一文件、修复本人错误不新增分。拍摄与剪辑不含在本项。</t>
        </is>
      </c>
      <c r="I12" s="2" t="inlineStr">
        <is>
          <t>改1个视频标题：1分。
共用1个新视频：3分。
5个ASIN加入同一已有视频：2分。
已有视频改标题并新增5个ASIN：3分。</t>
        </is>
      </c>
    </row>
    <row r="13" ht="41.65" customFormat="1" customHeight="1" s="29">
      <c r="A13" s="7" t="inlineStr">
        <is>
          <t>Listing内容维护</t>
        </is>
      </c>
      <c r="B13" s="7" t="inlineStr">
        <is>
          <t>Listing纠错</t>
        </is>
      </c>
      <c r="C13" s="40" t="n">
        <v>2</v>
      </c>
      <c r="D13" s="40" t="n">
        <v>1</v>
      </c>
      <c r="E13" s="7" t="inlineStr">
        <is>
          <t>每个独立错误点：2分。
同一错误在多个位置重复出现，合并为1个错误点。</t>
        </is>
      </c>
      <c r="F13" s="7" t="inlineStr">
        <is>
          <t>固定1.0；按计分单位累计，不另加难度系数。</t>
        </is>
      </c>
      <c r="G13" s="41">
        <f>ROUND(C13*D13,1)</f>
        <v/>
      </c>
      <c r="H13" s="7" t="inlineStr">
        <is>
          <t>每次必须检查标题、五点、描述、A+、主图及视频，缺少该模块标记“不适用”。发现的错误全部修正并核验后验收；检查包含在纠错分中。修复自己造成的错误不新增分。同一纠错成果不再计图片、A+或视频修改分。</t>
        </is>
      </c>
      <c r="I13" s="2" t="inlineStr">
        <is>
          <t>同一电压错误出现在标题、A+和视频：全部修正，共2分。
电压、尺寸、材质3个独立错误：6分。</t>
        </is>
      </c>
    </row>
    <row r="14" ht="41.65" customHeight="1" s="39">
      <c r="A14" s="7" t="inlineStr">
        <is>
          <t>Listing内容维护</t>
        </is>
      </c>
      <c r="B14" s="7" t="inlineStr">
        <is>
          <t>重新编写标题</t>
        </is>
      </c>
      <c r="C14" s="40" t="n">
        <v>2</v>
      </c>
      <c r="D14" s="40" t="n">
        <v>1</v>
      </c>
      <c r="E14" s="7" t="inlineStr">
        <is>
          <t>每个Listing标题：2分。</t>
        </is>
      </c>
      <c r="F14" s="7" t="inlineStr">
        <is>
          <t>固定1.0；按计分单位累计，不另加难度系数。</t>
        </is>
      </c>
      <c r="G14" s="41">
        <f>ROUND(C14*D14,1)</f>
        <v/>
      </c>
      <c r="H14"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I14" s="2" t="inlineStr">
        <is>
          <t>1个Listing标题有效重写并完成复盘：2分。</t>
        </is>
      </c>
    </row>
    <row r="15" ht="41.65" customHeight="1" s="39">
      <c r="A15" s="7" t="inlineStr">
        <is>
          <t>Listing内容维护</t>
        </is>
      </c>
      <c r="B15" s="7" t="inlineStr">
        <is>
          <t>重新编写五点</t>
        </is>
      </c>
      <c r="C15" s="42" t="n">
        <v>3</v>
      </c>
      <c r="D15" s="40" t="n">
        <v>1</v>
      </c>
      <c r="E15" s="7" t="inlineStr">
        <is>
          <t>每个Listing的一套五点：3分。
不论本轮重写其中1点、几点或全部五点，均计3分。</t>
        </is>
      </c>
      <c r="F15" s="7" t="inlineStr">
        <is>
          <t>固定1.0；按计分单位累计，不另加难度系数。</t>
        </is>
      </c>
      <c r="G15" s="41">
        <f>ROUND(C15*D15,1)</f>
        <v/>
      </c>
      <c r="H15"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 不按单条五点分别计分。</t>
        </is>
      </c>
      <c r="I15" s="2" t="inlineStr">
        <is>
          <t>重写1点：3分；重写全部五点：仍为3分。</t>
        </is>
      </c>
    </row>
    <row r="16" ht="41.65" customHeight="1" s="39">
      <c r="A16" s="7" t="inlineStr">
        <is>
          <t>Listing内容维护</t>
        </is>
      </c>
      <c r="B16" s="7" t="inlineStr">
        <is>
          <t>重新编写描述</t>
        </is>
      </c>
      <c r="C16" s="42" t="n">
        <v>3</v>
      </c>
      <c r="D16" s="40" t="n">
        <v>1</v>
      </c>
      <c r="E16" s="7" t="inlineStr">
        <is>
          <t>每个Listing的一份描述：3分。</t>
        </is>
      </c>
      <c r="F16" s="7" t="inlineStr">
        <is>
          <t>固定1.0；按计分单位累计，不另加难度系数。</t>
        </is>
      </c>
      <c r="G16" s="41">
        <f>ROUND(C16*D16,1)</f>
        <v/>
      </c>
      <c r="H16"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I16" s="2" t="inlineStr">
        <is>
          <t>1份描述有效重写并完成复盘：3分。</t>
        </is>
      </c>
    </row>
    <row r="17" ht="41.65" customHeight="1" s="39">
      <c r="A17" s="7" t="inlineStr">
        <is>
          <t>Listing内容维护</t>
        </is>
      </c>
      <c r="B17" s="7" t="inlineStr">
        <is>
          <t>重新整理Generic Keywords</t>
        </is>
      </c>
      <c r="C17" s="40" t="n">
        <v>2</v>
      </c>
      <c r="D17" s="40" t="n">
        <v>1</v>
      </c>
      <c r="E17" s="7" t="inlineStr">
        <is>
          <t>每个Listing的一套Generic Keywords：2分。</t>
        </is>
      </c>
      <c r="F17" s="7" t="inlineStr">
        <is>
          <t>固定1.0；按计分单位累计，不另加难度系数。</t>
        </is>
      </c>
      <c r="G17" s="41">
        <f>ROUND(C17*D17,1)</f>
        <v/>
      </c>
      <c r="H17"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I17" s="2" t="inlineStr">
        <is>
          <t>重新整理1个Listing的搜索关键词：2分。</t>
        </is>
      </c>
    </row>
    <row r="18" ht="69.40000000000001" customHeight="1" s="39">
      <c r="A18" s="7" t="inlineStr">
        <is>
          <t>Listing内容维护</t>
        </is>
      </c>
      <c r="B18" s="7" t="inlineStr">
        <is>
          <t>全新制作或完全重做A+</t>
        </is>
      </c>
      <c r="C18" s="40" t="n">
        <v>10</v>
      </c>
      <c r="D18" s="40" t="n">
        <v>1</v>
      </c>
      <c r="E18" s="7" t="inlineStr">
        <is>
          <t>每份独立A+：10分。
多个SKU共用同一份，只计10分；不同内容按份数相加。</t>
        </is>
      </c>
      <c r="F18" s="7" t="inlineStr">
        <is>
          <t>固定1.0；按计分单位累计，不另加难度系数。</t>
        </is>
      </c>
      <c r="G18" s="41">
        <f>ROUND(C18*D18,1)</f>
        <v/>
      </c>
      <c r="H18"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 新建分包含制作、提交、首次SKU绑定与核验，不另加首次绑定分。后续新任务增加SKU按1分/SKU。完全重做不得同时计“A+制作发布”与优化项目；同一成果只计一次。</t>
        </is>
      </c>
      <c r="I18" s="2" t="inlineStr">
        <is>
          <t>5个SKU共用一份全新A+：10分；分别重做5份：50分。</t>
        </is>
      </c>
    </row>
    <row r="19" ht="55.5" customHeight="1" s="39">
      <c r="A19" s="7" t="inlineStr">
        <is>
          <t>Listing内容维护</t>
        </is>
      </c>
      <c r="B19" s="7" t="inlineStr">
        <is>
          <t>A+内容增删修改</t>
        </is>
      </c>
      <c r="C19" s="40" t="n">
        <v>2</v>
      </c>
      <c r="D19" s="40" t="n">
        <v>1</v>
      </c>
      <c r="E19" s="7" t="inlineStr">
        <is>
          <t>每个实际修改的模块：2分。
新增或删除整个模块也按2分/模块计。
同一份A+同一轮累计最高10分。</t>
        </is>
      </c>
      <c r="F19" s="7" t="inlineStr">
        <is>
          <t>固定1.0；按计分单位累计，不另加难度系数。</t>
        </is>
      </c>
      <c r="G19" s="41">
        <f>ROUND(C19*D19,1)</f>
        <v/>
      </c>
      <c r="H19" s="7" t="inlineStr">
        <is>
          <t>同一模块内增加、删除或修改多处信息只计一次2分；同一轮反复调整不重复计分。全新制作或完全重做按10分/份，不叠加局部修改分。仅增加绑定SKU归A+制作发布，按1分/SKU。单纯事实纠错按Listing纠错计分。以优化为目的的修改执行优化登记与复盘规则。</t>
        </is>
      </c>
      <c r="I19" s="2" t="inlineStr">
        <is>
          <t>同一模块增加两项参数：2分。
另一模块删除过时信息：再计2分，共4分。
同份同轮修改6个模块：封顶10分。</t>
        </is>
      </c>
    </row>
    <row r="20" ht="83.25" customHeight="1" s="39">
      <c r="A20" s="7" t="inlineStr">
        <is>
          <t>Listing内容维护</t>
        </is>
      </c>
      <c r="B20" s="7" t="inlineStr">
        <is>
          <t>变体关系维护</t>
        </is>
      </c>
      <c r="C20" s="40" t="n">
        <v>3</v>
      </c>
      <c r="D20" s="40" t="n">
        <v>1</v>
      </c>
      <c r="E20" s="7" t="inlineStr">
        <is>
          <t>3分：仅修改变体选项名称或属性值，不解除、重建父子关系。
5分：将已上架的独立SKU加入已有变体，不解除原有关系。
8分：独立商品组成新变体；或拆分、解除原关系后重新组合。</t>
        </is>
      </c>
      <c r="F20" s="7" t="inlineStr">
        <is>
          <t>1.0：原因和调整方案明确，直接执行并核验。
1.3：需要排查关系异常或属性冲突，确认原因后处理。
1.6：需要排查异常，且涉及两个及以上父体之间的拆分、迁移或重建。
基础分与系数分别选择；系数只取适用最高档。</t>
        </is>
      </c>
      <c r="G20" s="41">
        <f>ROUND(C20*D20,1)</f>
        <v/>
      </c>
      <c r="H20" s="7" t="inlineStr">
        <is>
          <t>按同一次安排中的一个独立变体处理方案计分，包含核对、拆分、解绑、加入、重建及核验。基础分只取适用最高档，不逐项累加。多个SKU共同组成同一变体算一个方案；互不相关的问题分别计分。跨多个父体完成同一次迁移或重组仍算一个方案。新品上架或其他异常处理已包含的相同工作不重复计分。</t>
        </is>
      </c>
      <c r="I20" s="2" t="inlineStr">
        <is>
          <t>只改选项名称：3分。
独立SKU加入已有变体：5分。
独立商品组合新变体：8分。
排查后解除并重建：10.4分。
排查并跨多个父体重组：12.8分。
详见“场景示例”末尾。</t>
        </is>
      </c>
    </row>
    <row r="21" ht="55.5" customHeight="1" s="39">
      <c r="A21" s="7" t="inlineStr">
        <is>
          <t>Listing内容维护</t>
        </is>
      </c>
      <c r="B21" s="7" t="inlineStr">
        <is>
          <t>图片维护</t>
        </is>
      </c>
      <c r="C21" s="40" t="n">
        <v>2</v>
      </c>
      <c r="D21" s="40" t="n">
        <v>1</v>
      </c>
      <c r="E21" s="7" t="inlineStr">
        <is>
          <t>每个SKU：2分。
每个SKU上传自己的产品图片；不按批量降低分值。</t>
        </is>
      </c>
      <c r="F21" s="7" t="inlineStr">
        <is>
          <t>1.0：OA有完整可用图片；或独立样品备货与拍摄协调任务已交付图片。
1.3：OA缺图，需联系产品负责人获取、确认并跟进图片。
等待时间长短不增加系数。</t>
        </is>
      </c>
      <c r="G21" s="41">
        <f>ROUND(C21*D21,1)</f>
        <v/>
      </c>
      <c r="H21" s="7" t="inlineStr">
        <is>
          <t>取得可用图片后上传并核验；未取得图片标记“待图片”，暂停时限，齐备后恢复剩余时限。仅需协调取图的SKU用1.3。样品备货与拍摄协调另计独立任务；同一上传成果不重复计分。</t>
        </is>
      </c>
      <c r="I21" s="2" t="inlineStr">
        <is>
          <t>5个SKU分别更新独立图片，有可用图片：10分。</t>
        </is>
      </c>
    </row>
    <row r="22" ht="55.5" customHeight="1" s="39">
      <c r="A22" s="7" t="inlineStr">
        <is>
          <t>价格管理</t>
        </is>
      </c>
      <c r="B22" s="7" t="inlineStr">
        <is>
          <t>价格调整</t>
        </is>
      </c>
      <c r="C22" s="40" t="n">
        <v>3</v>
      </c>
      <c r="D22" s="40" t="n">
        <v>1</v>
      </c>
      <c r="E22" s="7" t="inlineStr">
        <is>
          <t>同一次安排的批量改价任务：3分/批。
不按SKU数量、不同目标价格或OA记录数增加分数。</t>
        </is>
      </c>
      <c r="F22" s="7" t="inlineStr">
        <is>
          <t>固定1.0；负责人明确目标价格，员工执行并核验。</t>
        </is>
      </c>
      <c r="G22" s="41">
        <f>ROUND(C22*D22,1)</f>
        <v/>
      </c>
      <c r="H22" s="7" t="inlineStr">
        <is>
          <t>按负责人提供的SKU及目标价格完成调整，并核验实际生效价格。同一次安排中的多个SKU，即使目标价格不同，仍按一个批次计分。OA拆成多条记录、分文件上传、失败重试不增加批次。原价格维护及单纯改价异常合并为本项；Buy Box异常处理已包含的改价不重复计分。</t>
        </is>
      </c>
      <c r="I22" s="2" t="inlineStr">
        <is>
          <t>一次安排10个SKU分别涨到指定价格：3分。</t>
        </is>
      </c>
    </row>
    <row r="23" ht="55.5" customHeight="1" s="39">
      <c r="A23" s="7" t="inlineStr">
        <is>
          <t>价格管理</t>
        </is>
      </c>
      <c r="B23" s="7" t="inlineStr">
        <is>
          <t>Buy Box异常处理</t>
        </is>
      </c>
      <c r="C23" s="40" t="n">
        <v>3</v>
      </c>
      <c r="D23" s="40" t="n">
        <v>1</v>
      </c>
      <c r="E23" s="7" t="inlineStr">
        <is>
          <t>每个独立Buy Box异常处理任务：3分。
同站点、同ASIN、同原因的连续异常算一个任务；多个ASIN共用同一套证据与处理过程时合并计分。</t>
        </is>
      </c>
      <c r="F23" s="7" t="inlineStr">
        <is>
          <t>固定1.0；按独立异常任务计分，不按Case数量提高系数。</t>
        </is>
      </c>
      <c r="G23" s="41">
        <f>ROUND(C23*D23,1)</f>
        <v/>
      </c>
      <c r="H23" s="7" t="inlineStr">
        <is>
          <t>包含售价及运费核查、截图取证、整理材料、开Case及后续跟进。同一任务不按Case数量、重试次数或处理时长加分；已包含的改价不另计分。恢复后核验验收；未恢复时提交取证截图、Case编号及最终回复，经负责人确认阶段结案后也计3分。处理中暂不结算，阶段结案后恢复不再重复计分。</t>
        </is>
      </c>
      <c r="I23" s="2" t="inlineStr">
        <is>
          <t>1个Case后恢复并核验：3分。
多个Case后恢复：仍为3分。
未恢复，凭证齐全且负责人确认阶段结案：3分。
未结案仍在处理中：暂不结算。</t>
        </is>
      </c>
    </row>
    <row r="24" ht="55.5" customHeight="1" s="39">
      <c r="A24" s="7" t="inlineStr">
        <is>
          <t>价格管理</t>
        </is>
      </c>
      <c r="B24" s="7" t="inlineStr">
        <is>
          <t>主动价格优化</t>
        </is>
      </c>
      <c r="C24" s="40" t="n">
        <v>0</v>
      </c>
      <c r="D24" s="40" t="n">
        <v>1</v>
      </c>
      <c r="E24" s="7" t="inlineStr">
        <is>
          <t>主动改善关联入口：任务积分0分。
仅按主动改善2/4/6分档认定，同案取最高档。</t>
        </is>
      </c>
      <c r="F24" s="7" t="inlineStr">
        <is>
          <t>不适用：本项不独立计任务分
难度按关联主任务的等级选择</t>
        </is>
      </c>
      <c r="G24" s="41">
        <f>ROUND(C24*D24,1)</f>
        <v/>
      </c>
      <c r="H24" s="7" t="inlineStr">
        <is>
          <t>按实际发起来源选择唯一计分路径：负责人安排的工作计任务积分；员工自主发现并发起的改善仅按主动改善2/4/6分档认定，不再叠加任务积分。员工先提出建议、经负责人批准后执行，仍属主动改善；补建任务或认领变化不改变来源。 本行0分表示不计任务积分，不表示主动改善没有得分。</t>
        </is>
      </c>
      <c r="I24" s="2" t="n"/>
    </row>
    <row r="25" ht="55.5" customHeight="1" s="39">
      <c r="A25" s="7" t="inlineStr">
        <is>
          <t>促销管理</t>
        </is>
      </c>
      <c r="B25" s="7" t="inlineStr">
        <is>
          <t>Coupon与Promotion创建</t>
        </is>
      </c>
      <c r="C25" s="40" t="n">
        <v>3</v>
      </c>
      <c r="D25" s="40" t="n">
        <v>1</v>
      </c>
      <c r="E25" s="7" t="inlineStr">
        <is>
          <t>按已明确的优惠方案，实际创建并完成核验的每个独立Coupon或Promotion活动计3分。
同一活动包含多个SKU仍计3分；不同活动分别计分。</t>
        </is>
      </c>
      <c r="F25" s="7" t="inlineStr">
        <is>
          <t>固定1.0；负责人明确优惠方案，员工执行并核验。</t>
        </is>
      </c>
      <c r="G25" s="41">
        <f>ROUND(C25*D25,1)</f>
        <v/>
      </c>
      <c r="H25" s="7" t="inlineStr">
        <is>
          <t>按明确优惠方案创建活动并核验，3分/独立活动。不得人为拆分活动增加积分。创建或提报过程中的报错、参数修正、失败重试及重新提交，包含在原任务分值内，不另计异常处理分。修复本人操作造成的问题不新增积分。已上线活动后续出现新的独立问题，另行界定任务，不自动重复领取创建或提报分。</t>
        </is>
      </c>
      <c r="I25" s="2" t="inlineStr">
        <is>
          <t>创建1个活动、含20个SKU：3分。
创建5个独立活动：15分。
3个Coupon＋2个Promotion：15分。</t>
        </is>
      </c>
    </row>
    <row r="26" ht="69.40000000000001" customHeight="1" s="39">
      <c r="A26" s="7" t="inlineStr">
        <is>
          <t>促销管理</t>
        </is>
      </c>
      <c r="B26" s="7" t="inlineStr">
        <is>
          <t>Deal活动提报</t>
        </is>
      </c>
      <c r="C26" s="40" t="n">
        <v>2</v>
      </c>
      <c r="D26" s="40" t="n">
        <v>1</v>
      </c>
      <c r="E26" s="7" t="inlineStr">
        <is>
          <t>每个实际独立提报的Deal：2分。
不按包含的SKU数量增加；5个独立Deal计10分。</t>
        </is>
      </c>
      <c r="F26" s="7" t="inlineStr">
        <is>
          <t>固定1.0；按独立Deal数量计分。</t>
        </is>
      </c>
      <c r="G26" s="41">
        <f>ROUND(C26*D26,1)</f>
        <v/>
      </c>
      <c r="H26" s="7" t="inlineStr">
        <is>
          <t>完成Deal资料及参数核对、提报和提交结果核验后计分。平台是否批准另行记录，不以审批通过作为提报工作的唯一验收条件。创建或提报过程中的报错、参数修正、失败重试及重新提交，包含在原任务分值内，不另计异常处理分。修复本人操作造成的问题不新增积分。已上线活动后续出现新的独立问题，另行界定任务，不自动重复领取创建或提报分。</t>
        </is>
      </c>
      <c r="I26" s="2" t="inlineStr">
        <is>
          <t>提报1个Deal：2分。
提报5个独立Deal：10分。
同一Deal失败重试：不新增积分。</t>
        </is>
      </c>
    </row>
    <row r="27" ht="83.25" customHeight="1" s="39">
      <c r="A27" s="7" t="inlineStr">
        <is>
          <t>广告新建</t>
        </is>
      </c>
      <c r="B27" s="7" t="inlineStr">
        <is>
          <t>SP广告创建</t>
        </is>
      </c>
      <c r="C27" s="40" t="n">
        <v>3</v>
      </c>
      <c r="D27" s="40" t="n">
        <v>1</v>
      </c>
      <c r="E27" s="7" t="inlineStr">
        <is>
          <t>每创建1个独立SP Campaign计3分。
不区分广告组、商品、目标、素材或落地页数量。</t>
        </is>
      </c>
      <c r="F27" s="7" t="inlineStr">
        <is>
          <t>固定1.0；按实际独立Campaign数量计分。</t>
        </is>
      </c>
      <c r="G27" s="41">
        <f>ROUND(C27*D27,1)</f>
        <v/>
      </c>
      <c r="H27" s="7"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新建Campaign必要的命名和归组包含在创建分中，不单独计分。</t>
        </is>
      </c>
      <c r="I27" s="2" t="inlineStr">
        <is>
          <t>创建1个SP Campaign：3分。
创建3个独立SP Campaign：9分。
同一Campaign出现多条Ads Change：只计一次创建分。</t>
        </is>
      </c>
    </row>
    <row r="28" ht="83.25" customHeight="1" s="39">
      <c r="A28" s="7" t="inlineStr">
        <is>
          <t>广告新建</t>
        </is>
      </c>
      <c r="B28" s="7" t="inlineStr">
        <is>
          <t>SB广告创建</t>
        </is>
      </c>
      <c r="C28" s="40" t="n">
        <v>4</v>
      </c>
      <c r="D28" s="40" t="n">
        <v>1</v>
      </c>
      <c r="E28" s="7" t="inlineStr">
        <is>
          <t>每创建1个独立SB Campaign计4分。
不区分广告组、商品、目标、素材或落地页数量。</t>
        </is>
      </c>
      <c r="F28" s="7" t="inlineStr">
        <is>
          <t>固定1.0；按实际独立Campaign数量计分。</t>
        </is>
      </c>
      <c r="G28" s="41">
        <f>ROUND(C28*D28,1)</f>
        <v/>
      </c>
      <c r="H28" s="7"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SBV只按SBV项目计分，不再同时计SB创建分。 新建Campaign必要的命名和归组包含在创建分中，不单独计分。</t>
        </is>
      </c>
      <c r="I28" s="2" t="inlineStr">
        <is>
          <t>创建1个SB Campaign：4分。
创建3个独立SB Campaign：12分。
同一Campaign出现多条Ads Change：只计一次创建分。</t>
        </is>
      </c>
    </row>
    <row r="29" ht="83.25" customHeight="1" s="39">
      <c r="A29" s="7" t="inlineStr">
        <is>
          <t>广告新建</t>
        </is>
      </c>
      <c r="B29" s="7" t="inlineStr">
        <is>
          <t>SBV广告创建</t>
        </is>
      </c>
      <c r="C29" s="40" t="n">
        <v>4</v>
      </c>
      <c r="D29" s="40" t="n">
        <v>1</v>
      </c>
      <c r="E29" s="7" t="inlineStr">
        <is>
          <t>每创建1个独立SBV Campaign计4分。
不区分广告组、商品、目标、素材或落地页数量。</t>
        </is>
      </c>
      <c r="F29" s="7" t="inlineStr">
        <is>
          <t>固定1.0；按实际独立Campaign数量计分。</t>
        </is>
      </c>
      <c r="G29" s="41">
        <f>ROUND(C29*D29,1)</f>
        <v/>
      </c>
      <c r="H29" s="7"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SBV只按SBV项目计分，不再同时计SB创建分。 新建Campaign必要的命名和归组包含在创建分中，不单独计分。</t>
        </is>
      </c>
      <c r="I29" s="2" t="inlineStr">
        <is>
          <t>创建1个SBV Campaign：4分。
创建3个独立SBV Campaign：12分。
同一Campaign出现多条Ads Change：只计一次创建分。</t>
        </is>
      </c>
    </row>
    <row r="30" ht="83.25" customHeight="1" s="39">
      <c r="A30" s="7" t="inlineStr">
        <is>
          <t>广告新建</t>
        </is>
      </c>
      <c r="B30" s="7" t="inlineStr">
        <is>
          <t>SD广告创建</t>
        </is>
      </c>
      <c r="C30" s="40" t="n">
        <v>4</v>
      </c>
      <c r="D30" s="40" t="n">
        <v>1</v>
      </c>
      <c r="E30" s="7" t="inlineStr">
        <is>
          <t>每创建1个独立SD Campaign计4分。
不区分广告组、商品、目标、素材或落地页数量。</t>
        </is>
      </c>
      <c r="F30" s="7" t="inlineStr">
        <is>
          <t>固定1.0；按实际独立Campaign数量计分。</t>
        </is>
      </c>
      <c r="G30" s="41">
        <f>ROUND(C30*D30,1)</f>
        <v/>
      </c>
      <c r="H30" s="7"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新建Campaign必要的命名和归组包含在创建分中，不单独计分。</t>
        </is>
      </c>
      <c r="I30" s="2" t="inlineStr">
        <is>
          <t>创建1个SD Campaign：4分。
创建3个独立SD Campaign：12分。
同一Campaign出现多条Ads Change：只计一次创建分。</t>
        </is>
      </c>
    </row>
    <row r="31" ht="55.5" customHeight="1" s="39">
      <c r="A31" s="7" t="inlineStr">
        <is>
          <t>广告调整</t>
        </is>
      </c>
      <c r="B31" s="7" t="inlineStr">
        <is>
          <t>广告执行调整</t>
        </is>
      </c>
      <c r="C31" s="42" t="n">
        <v>2</v>
      </c>
      <c r="D31" s="42" t="n">
        <v>1</v>
      </c>
      <c r="E31" s="7" t="inlineStr">
        <is>
          <t>小批量（≤5个Campaign）：2分。
中批量（6—20个Campaign）：3分。
大批量（21个及以上Campaign）：4分。
按同次安排、同一调整目的计。</t>
        </is>
      </c>
      <c r="F31" s="7" t="inlineStr">
        <is>
          <t>固定1.0；按负责人明确指令执行并核验。分值按涉及Campaign数量分档选择。</t>
        </is>
      </c>
      <c r="G31" s="41">
        <f>ROUND(C31*D31,1)</f>
        <v/>
      </c>
      <c r="H31" s="7" t="inlineStr">
        <is>
          <t>涵盖关键词与搜索词调整、否定投放调整、广告产品归组与补充、ASIN与商品投放调整、Bid与投放位置调整。同一次安排、同一调整目的合计基础分；不按对象或Ads Change数量加分。认领变化、关联任务、填写原因并核验。员工自主发起改善仅计主动分。</t>
        </is>
      </c>
      <c r="I31" s="2" t="inlineStr">
        <is>
          <t>同次安排调整3个Campaign的Bid：2分。
同次安排调整15个Campaign的否定词：3分。
同次安排调整30个Campaign的关键词：4分。</t>
        </is>
      </c>
    </row>
    <row r="32" ht="55.5" customHeight="1" s="39">
      <c r="A32" s="7" t="inlineStr">
        <is>
          <t>Listing与账号异常</t>
        </is>
      </c>
      <c r="B32" s="7" t="inlineStr">
        <is>
          <t>Listing异常申诉与Case处理</t>
        </is>
      </c>
      <c r="C32" s="40" t="n">
        <v>4</v>
      </c>
      <c r="D32" s="40" t="n">
        <v>1</v>
      </c>
      <c r="E32" s="7" t="inlineStr">
        <is>
          <t>每个ASIN的一项独立异常处理：4分。
处理5个ASIN计20分；不再采用ASIN数量分档。
同一ASIN同一异常只计一次。</t>
        </is>
      </c>
      <c r="F32" s="7" t="inlineStr">
        <is>
          <t>固定1.0；按ASIN及独立异常计分，不按Case数量或处理次数增加系数。</t>
        </is>
      </c>
      <c r="G32" s="41">
        <f>ROUND(C32*D32,1)</f>
        <v/>
      </c>
      <c r="H32" s="7" t="inlineStr">
        <is>
          <t>包含异常核查、材料整理、Appeal或Case提交、回复跟进及结果核验。同一ASIN同一异常的多次申诉、多个Case或补充材料合并计4分。合并在一个Case中的多个ASIN按个数计分，但须逐个记录处理结果。恢复后验收；未恢复时提交完整记录，经负责人确认阶段结案后计分，后续同一异常恢复不重复领取。已归Buy Box、滞留库存或变体关系维护的同一问题不叠加本项。负责人安排计任务分，自主发起改善仅计主动分。</t>
        </is>
      </c>
      <c r="I32" s="2" t="inlineStr">
        <is>
          <t>1个ASIN，多次Case处理同一异常：4分。
5个ASIN合并一个Case，逐个完成核验：20分。
已阶段结案计4分，之后恢复：不再加分。</t>
        </is>
      </c>
    </row>
    <row r="33" ht="69.40000000000001" customHeight="1" s="39">
      <c r="A33" s="7" t="inlineStr">
        <is>
          <t>Brand Store维护</t>
        </is>
      </c>
      <c r="B33" s="7" t="inlineStr">
        <is>
          <t>二级类目商品维护</t>
        </is>
      </c>
      <c r="C33" s="40" t="n">
        <v>2</v>
      </c>
      <c r="D33" s="40" t="n">
        <v>1</v>
      </c>
      <c r="E33" s="7" t="inlineStr">
        <is>
          <t>每个二级类目的一次商品更新：2分。
在原有模块内添加、删除或替换商品；不按SKU数量增加。</t>
        </is>
      </c>
      <c r="F33" s="7" t="inlineStr">
        <is>
          <t>固定1.0；按实际更新的二级类目数量计分。</t>
        </is>
      </c>
      <c r="G33" s="41">
        <f>ROUND(C33*D33,1)</f>
        <v/>
      </c>
      <c r="H33" s="7" t="inlineStr">
        <is>
          <t>按实际二级类目及一次安排计分，例如Motorized Ball Valve下的1/2英寸尺寸类目。记录类目路径和页面标识；同类目多商品更新合并一次，不按SKU数量加分。同一二级类目既改商品又重建模块，只计5分，不计7分。正常提交、反馈修正及核验包含在原任务中；本人本次操作导致的报错修复不新增分。按发起来源选择任务分或主动分，不叠加。</t>
        </is>
      </c>
      <c r="I33" s="2" t="inlineStr">
        <is>
          <t>更新1/2英寸类目商品：2分。
同时更新1/2英寸和3/4英寸两个类目：4分。</t>
        </is>
      </c>
    </row>
    <row r="34" ht="55.5" customHeight="1" s="39">
      <c r="A34" s="7" t="inlineStr">
        <is>
          <t>Brand Store维护</t>
        </is>
      </c>
      <c r="B34" s="7" t="inlineStr">
        <is>
          <t>二级类目模块新增或重建</t>
        </is>
      </c>
      <c r="C34" s="40" t="n">
        <v>5</v>
      </c>
      <c r="D34" s="40" t="n">
        <v>1</v>
      </c>
      <c r="E34" s="7" t="inlineStr">
        <is>
          <t>每个二级类目的一次模块新增、替换或重建：5分。
包含必要布局、商品配置及核验；不按模块数量增加。</t>
        </is>
      </c>
      <c r="F34" s="7" t="inlineStr">
        <is>
          <t>固定1.0；按实际调整的二级类目数量计分。</t>
        </is>
      </c>
      <c r="G34" s="41">
        <f>ROUND(C34*D34,1)</f>
        <v/>
      </c>
      <c r="H34" s="7" t="inlineStr">
        <is>
          <t>按实际二级类目及一次安排计分，例如Motorized Ball Valve下的1/2英寸尺寸类目。记录类目路径和页面标识；同类目多商品更新合并一次，不按SKU数量加分。同一二级类目既改商品又重建模块，只计5分，不计7分。正常提交、反馈修正及核验包含在原任务中；本人本次操作导致的报错修复不新增分。按发起来源选择任务分或主动分，不叠加。</t>
        </is>
      </c>
      <c r="I34" s="2" t="inlineStr">
        <is>
          <t>1/2英寸类目重建模块并配置商品：5分。
两个尺寸类目均需重建：10分。</t>
        </is>
      </c>
    </row>
    <row r="35" ht="55.5" customHeight="1" s="39">
      <c r="A35" s="7" t="inlineStr">
        <is>
          <t>Brand Store维护</t>
        </is>
      </c>
      <c r="B35" s="7" t="inlineStr">
        <is>
          <t>提交阻断问题处理</t>
        </is>
      </c>
      <c r="C35" s="40" t="n">
        <v>3</v>
      </c>
      <c r="D35" s="40" t="n">
        <v>1</v>
      </c>
      <c r="E35" s="7" t="inlineStr">
        <is>
          <t>每次独立提交任务：3分。
仅限本次更新范围外其他板块的原有报错。</t>
        </is>
      </c>
      <c r="F35" s="7" t="inlineStr">
        <is>
          <t>固定1.0；同次提交多个报错合并计分。</t>
        </is>
      </c>
      <c r="G35" s="41">
        <f>ROUND(C35*D35,1)</f>
        <v/>
      </c>
      <c r="H35" s="7" t="inlineStr">
        <is>
          <t>仅处理本次更新范围之外、其他板块原有报错导致无法提交的问题。须保留报错截图、修复位置和提交成功记录。同一独立提交任务出现多个报错、反复尝试或涉及多个类目，只计一次3分，不按报错或类目数累加。本人本次更新造成的错误属于返工，不计本项。由同一人或不同人处理均按实际工作归属，不能重复领取。</t>
        </is>
      </c>
      <c r="I35" s="2" t="inlineStr">
        <is>
          <t>两个尺寸类目商品更新4分＋修复其他板块历史报错3分＝7分。
若报错由本人本次操作导致，仍只计4分。</t>
        </is>
      </c>
    </row>
    <row r="36" ht="69.40000000000001" customHeight="1" s="39">
      <c r="A36" s="7" t="inlineStr">
        <is>
          <t>Review、Feedback与客户声音</t>
        </is>
      </c>
      <c r="B36" s="7" t="inlineStr">
        <is>
          <t>VOC数据更新与AI分析</t>
        </is>
      </c>
      <c r="C36" s="40" t="n">
        <v>2</v>
      </c>
      <c r="D36" s="40" t="n">
        <v>1</v>
      </c>
      <c r="E36" s="7" t="inlineStr">
        <is>
          <t>每周完成一次数据下载、数据库更新、AI分析及基本核验，计2分；不按数据条数分档。</t>
        </is>
      </c>
      <c r="F36" s="7" t="inlineStr">
        <is>
          <t>固定1.0；按每周完整任务计分。</t>
        </is>
      </c>
      <c r="G36" s="41">
        <f>ROUND(C36*D36,1)</f>
        <v/>
      </c>
      <c r="H36" s="7" t="inlineStr">
        <is>
          <t>下载本周所需数据并记录期间；保存到数据库，核对导入成功、无明显遗漏或重复；运行AI分析，保存结果并检查是否正常生成及有无明显错误。同一周任务中的多次下载、分文件导入、AI重跑和失败重试合并计分。AI分析不等于员工独立业务分析；后续核实问题、形成建议或推动处理，按独立交付及发起来源另行认定，相同工作不重复计分。</t>
        </is>
      </c>
      <c r="I36" s="2" t="inlineStr">
        <is>
          <t>完成本周下载、入库、AI分析及核验：2分。
同周分多个文件导入或重跑AI：仍计2分。</t>
        </is>
      </c>
    </row>
    <row r="37" ht="69.40000000000001" customHeight="1" s="39">
      <c r="A37" s="7" t="inlineStr">
        <is>
          <t>Review、Feedback与客户声音</t>
        </is>
      </c>
      <c r="B37" s="7" t="inlineStr">
        <is>
          <t>Listing问题处理</t>
        </is>
      </c>
      <c r="C37" s="40" t="n">
        <v>0</v>
      </c>
      <c r="D37" s="40" t="n">
        <v>1</v>
      </c>
      <c r="E37" s="7" t="inlineStr">
        <is>
          <t>关联入口：0分
按Listing纠错、优化或素材主任务计分
相同修改不再重复获得任务分</t>
        </is>
      </c>
      <c r="F37" s="7" t="inlineStr">
        <is>
          <t>不适用：本项不独立计任务分
难度按关联主任务的等级选择</t>
        </is>
      </c>
      <c r="G37" s="41">
        <f>ROUND(C37*D37,1)</f>
        <v/>
      </c>
      <c r="H37" s="7" t="inlineStr">
        <is>
          <t>VOC只是问题来源，不决定计分路径。负责人安排的修改按对应主任务计分；员工自主发现并发起的改善仅计主动分，同一交付不叠加。</t>
        </is>
      </c>
      <c r="I37" s="2" t="n"/>
    </row>
    <row r="38" ht="69.40000000000001" customHeight="1" s="39">
      <c r="A38" s="7" t="inlineStr">
        <is>
          <t>Review、Feedback与客户声音</t>
        </is>
      </c>
      <c r="B38" s="7" t="inlineStr">
        <is>
          <t>产品质量问题反馈</t>
        </is>
      </c>
      <c r="C38" s="40" t="n">
        <v>2</v>
      </c>
      <c r="D38" s="40" t="n">
        <v>1</v>
      </c>
      <c r="E38" s="7" t="inlineStr">
        <is>
          <t>1类产品共性问题：
1个产品：2分
同因2—5个产品：3分
同因6—20个产品：5分
含证据、转交及1个反馈节点</t>
        </is>
      </c>
      <c r="F38" s="7" t="inlineStr">
        <is>
          <t>1.0：按标准范围和既定方案完成
1.3：证据存在差异，需补充分类或核实范围。
1.6：跨产品证据相互矛盾，需系统梳理及协调验证结论。</t>
        </is>
      </c>
      <c r="G38" s="41">
        <f>ROUND(C38*D38,1)</f>
        <v/>
      </c>
      <c r="H38" s="7" t="inlineStr">
        <is>
          <t>与售后同类反馈合并为同一问题单；产品开发执行另计开发任务。</t>
        </is>
      </c>
      <c r="I38" s="2" t="n"/>
    </row>
    <row r="39" ht="55.5" customHeight="1" s="39">
      <c r="A39" s="7" t="inlineStr">
        <is>
          <t>库存与配送</t>
        </is>
      </c>
      <c r="B39" s="7" t="inlineStr">
        <is>
          <t>FBA货件问题处理</t>
        </is>
      </c>
      <c r="C39" s="40" t="n">
        <v>1</v>
      </c>
      <c r="D39" s="40" t="n">
        <v>1</v>
      </c>
      <c r="E39" s="7" t="inlineStr">
        <is>
          <t>每个货件问题计1分。</t>
        </is>
      </c>
      <c r="F39" s="7" t="inlineStr">
        <is>
          <t>固定1.0。</t>
        </is>
      </c>
      <c r="G39" s="41">
        <f>ROUND(C39*D39,1)</f>
        <v/>
      </c>
      <c r="H39" s="7" t="inlineStr">
        <is>
          <t>查看问题并核对情况，按实际情况接受，或选择不接受并提交Appeal，完成处理记录。同一货件、同一问题后续查看、重复提交及跟进不重复计分。不以Appeal成功为计分条件，须完成必要操作并核验提交状态。</t>
        </is>
      </c>
      <c r="I39" s="2" t="inlineStr">
        <is>
          <t>处理3个货件，每个货件各1个问题：3分。</t>
        </is>
      </c>
    </row>
    <row r="40" ht="55.5" customHeight="1" s="39">
      <c r="A40" s="7" t="inlineStr">
        <is>
          <t>库存与配送</t>
        </is>
      </c>
      <c r="B40" s="7" t="inlineStr">
        <is>
          <t>库存冗余折扣上传</t>
        </is>
      </c>
      <c r="C40" s="40" t="n">
        <v>2</v>
      </c>
      <c r="D40" s="40" t="n">
        <v>1</v>
      </c>
      <c r="E40" s="7" t="inlineStr">
        <is>
          <t>同一次安排的一批上传任务计2分，不按SKU数量增加。</t>
        </is>
      </c>
      <c r="F40" s="7" t="inlineStr">
        <is>
          <t>固定1.0；程序提供SKU及折扣方案，员工上传并核验。</t>
        </is>
      </c>
      <c r="G40" s="41">
        <f>ROUND(C40*D40,1)</f>
        <v/>
      </c>
      <c r="H40" s="7" t="inlineStr">
        <is>
          <t>包含上传、检查处理结果及修正上传报错。同一批拆成多个文件、重复上传或重试不重复计分。不要求员工分析冗余原因或制定折扣方案，不以库存最终售出作为完成条件。与价格调整或促销创建属于同一次交付的，只计一次分。</t>
        </is>
      </c>
      <c r="I40" s="2" t="inlineStr">
        <is>
          <t>程序生成50个SKU及折扣，完成上传并确认生效：2分。</t>
        </is>
      </c>
    </row>
    <row r="41" ht="41.65" customHeight="1" s="39">
      <c r="A41" s="7" t="inlineStr">
        <is>
          <t>库存管理</t>
        </is>
      </c>
      <c r="B41" s="7" t="inlineStr">
        <is>
          <t>滞留库存—移除库存</t>
        </is>
      </c>
      <c r="C41" s="40" t="n">
        <v>2</v>
      </c>
      <c r="D41" s="40" t="n">
        <v>1</v>
      </c>
      <c r="E41" s="7" t="inlineStr">
        <is>
          <t>每批2分，不按SKU数量增加。</t>
        </is>
      </c>
      <c r="F41" s="7" t="inlineStr">
        <is>
          <t>固定1.0。</t>
        </is>
      </c>
      <c r="G41" s="41">
        <f>ROUND(C41*D41,1)</f>
        <v/>
      </c>
      <c r="H41" s="7" t="inlineStr">
        <is>
          <t>成功创建移除订单，核对SKU、数量及处理方式，保存订单编号。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I41" s="2" t="inlineStr">
        <is>
          <t>同批移除多个SKU：2分。</t>
        </is>
      </c>
    </row>
    <row r="42" ht="69.40000000000001" customHeight="1" s="39">
      <c r="A42" s="7" t="inlineStr">
        <is>
          <t>库存管理</t>
        </is>
      </c>
      <c r="B42" s="7" t="inlineStr">
        <is>
          <t>滞留库存—Relist重新发布</t>
        </is>
      </c>
      <c r="C42" s="40" t="n">
        <v>2</v>
      </c>
      <c r="D42" s="40" t="n">
        <v>1</v>
      </c>
      <c r="E42" s="7" t="inlineStr">
        <is>
          <t>每批2分，不按SKU数量增加。</t>
        </is>
      </c>
      <c r="F42" s="7" t="inlineStr">
        <is>
          <t>固定1.0。</t>
        </is>
      </c>
      <c r="G42" s="41">
        <f>ROUND(C42*D42,1)</f>
        <v/>
      </c>
      <c r="H42" s="7" t="inlineStr">
        <is>
          <t>完成重新发布，核验发布结果及滞留状态，保留处理记录。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I42" s="2" t="inlineStr">
        <is>
          <t>同批Relist多个SKU：2分。</t>
        </is>
      </c>
    </row>
    <row r="43" ht="41.65" customHeight="1" s="39">
      <c r="A43" s="7" t="inlineStr">
        <is>
          <t>库存管理</t>
        </is>
      </c>
      <c r="B43" s="7" t="inlineStr">
        <is>
          <t>滞留库存—申诉或Case处理</t>
        </is>
      </c>
      <c r="C43" s="40" t="n">
        <v>3</v>
      </c>
      <c r="D43" s="40" t="n">
        <v>1</v>
      </c>
      <c r="E43" s="7" t="inlineStr">
        <is>
          <t>每个独立问题3分，不按Case或提交次数增加。</t>
        </is>
      </c>
      <c r="F43" s="7" t="inlineStr">
        <is>
          <t>固定1.0。</t>
        </is>
      </c>
      <c r="G43" s="41">
        <f>ROUND(C43*D43,1)</f>
        <v/>
      </c>
      <c r="H43" s="7" t="inlineStr">
        <is>
          <t>核对原因、提交申诉或Case并跟进；问题解决，或材料及处理记录完整、由负责人确认阶段结案。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I43" s="2" t="inlineStr">
        <is>
          <t>同一问题先Relist再申诉：合计3分。</t>
        </is>
      </c>
    </row>
    <row r="44" ht="41.65" customHeight="1" s="39">
      <c r="A44" s="7" t="inlineStr">
        <is>
          <t>库存管理</t>
        </is>
      </c>
      <c r="B44" s="7" t="inlineStr">
        <is>
          <t>滞留库存—已有电池／化学品资料提交</t>
        </is>
      </c>
      <c r="C44" s="40" t="n">
        <v>2</v>
      </c>
      <c r="D44" s="40" t="n">
        <v>1</v>
      </c>
      <c r="E44" s="7" t="inlineStr">
        <is>
          <t>使用已有完整资料完成一批提交，计2分。</t>
        </is>
      </c>
      <c r="F44" s="7" t="inlineStr">
        <is>
          <t>固定1.0。</t>
        </is>
      </c>
      <c r="G44" s="41">
        <f>ROUND(C44*D44,1)</f>
        <v/>
      </c>
      <c r="H44" s="7" t="inlineStr">
        <is>
          <t>核对资料与SKU的对应关系，提交并跟进审核结果，保存资料版本及处理记录。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I44" s="2" t="inlineStr">
        <is>
          <t>已有完整资料完成一批提交：2分。</t>
        </is>
      </c>
    </row>
    <row r="45" ht="83.25" customHeight="1" s="39">
      <c r="A45" s="7" t="inlineStr">
        <is>
          <t>库存管理</t>
        </is>
      </c>
      <c r="B45" s="7" t="inlineStr">
        <is>
          <t>滞留库存—电池／化学品资料协调与提交</t>
        </is>
      </c>
      <c r="C45" s="42" t="n">
        <v>3</v>
      </c>
      <c r="D45" s="40" t="n">
        <v>1</v>
      </c>
      <c r="E45" s="7" t="inlineStr">
        <is>
          <t>需协调获取资料、核对并完成一批提交，计3分。</t>
        </is>
      </c>
      <c r="F45" s="7" t="inlineStr">
        <is>
          <t>固定1.0。</t>
        </is>
      </c>
      <c r="G45" s="41">
        <f>ROUND(C45*D45,1)</f>
        <v/>
      </c>
      <c r="H45" s="7" t="inlineStr">
        <is>
          <t>协调取得可用资料，核对SKU对应关系，完成提交并跟进审核结果；已包含资料提交，不再加计2分。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I45" s="2" t="inlineStr">
        <is>
          <t>协调取得资料并提交：合计3分。</t>
        </is>
      </c>
    </row>
    <row r="46" ht="83.25" customHeight="1" s="39">
      <c r="A46" s="7" t="n"/>
      <c r="B46" s="7" t="n"/>
      <c r="C46" s="40" t="n"/>
      <c r="D46" s="40" t="n"/>
      <c r="E46" s="7" t="n"/>
      <c r="F46" s="7" t="n"/>
      <c r="G46" s="41">
        <f>ROUND(C46*D46,1)</f>
        <v/>
      </c>
      <c r="H46" s="7" t="n"/>
      <c r="I46" s="2" t="n"/>
    </row>
    <row r="47" ht="97.15000000000001" customHeight="1" s="39">
      <c r="A47" s="7" t="n"/>
      <c r="B47" s="7" t="n"/>
      <c r="C47" s="40" t="n"/>
      <c r="D47" s="40" t="n"/>
      <c r="E47" s="7" t="n"/>
      <c r="F47" s="7" t="n"/>
      <c r="G47" s="41">
        <f>ROUND(C47*D47,1)</f>
        <v/>
      </c>
      <c r="H47" s="7" t="n"/>
      <c r="I47" s="2" t="n"/>
    </row>
    <row r="48" ht="83.25" customHeight="1" s="39">
      <c r="A48" s="7" t="n"/>
      <c r="B48" s="7" t="n"/>
      <c r="C48" s="40" t="n"/>
      <c r="D48" s="40" t="n"/>
      <c r="E48" s="7" t="n"/>
      <c r="F48" s="7" t="n"/>
      <c r="G48" s="41">
        <f>ROUND(C48*D48,1)</f>
        <v/>
      </c>
      <c r="H48" s="7" t="n"/>
      <c r="I48" s="2" t="n"/>
    </row>
    <row r="49" ht="97.15000000000001" customHeight="1" s="39">
      <c r="A49" s="7" t="n"/>
      <c r="B49" s="7" t="n"/>
      <c r="C49" s="40" t="n"/>
      <c r="D49" s="40" t="n"/>
      <c r="E49" s="7" t="n"/>
      <c r="F49" s="7" t="n"/>
      <c r="G49" s="41">
        <f>ROUND(C49*D49,1)</f>
        <v/>
      </c>
      <c r="H49" s="7" t="n"/>
      <c r="I49" s="2" t="n"/>
    </row>
    <row r="50" ht="14.6" customHeight="1" s="39">
      <c r="A50" s="7" t="n"/>
      <c r="B50" s="7" t="n"/>
      <c r="C50" s="40" t="n"/>
      <c r="D50" s="40" t="n"/>
      <c r="E50" s="7" t="n"/>
      <c r="F50" s="7" t="n"/>
      <c r="G50" s="41">
        <f>ROUND(C50*D50,1)</f>
        <v/>
      </c>
      <c r="H50" s="7" t="n"/>
      <c r="I50" s="2" t="n"/>
    </row>
    <row r="51" ht="14.6" customHeight="1" s="39">
      <c r="A51" s="7" t="n"/>
      <c r="B51" s="7" t="n"/>
      <c r="C51" s="40" t="n"/>
      <c r="D51" s="40" t="n"/>
      <c r="E51" s="7" t="n"/>
      <c r="F51" s="7" t="n"/>
      <c r="G51" s="41">
        <f>ROUND(C51*D51,1)</f>
        <v/>
      </c>
      <c r="H51" s="7" t="n"/>
      <c r="I51" s="2" t="n"/>
    </row>
    <row r="52" ht="14.6" customHeight="1" s="39">
      <c r="A52" s="7" t="n"/>
      <c r="B52" s="7" t="n"/>
      <c r="C52" s="40" t="n"/>
      <c r="D52" s="40" t="n"/>
      <c r="E52" s="7" t="n"/>
      <c r="F52" s="7" t="n"/>
      <c r="G52" s="41">
        <f>ROUND(C52*D52,1)</f>
        <v/>
      </c>
      <c r="H52" s="7" t="n"/>
      <c r="I52" s="2" t="n"/>
    </row>
    <row r="53" ht="14.6" customHeight="1" s="39">
      <c r="A53" s="7" t="n"/>
      <c r="B53" s="7" t="n"/>
      <c r="C53" s="40" t="n"/>
      <c r="D53" s="40" t="n"/>
      <c r="E53" s="7" t="n"/>
      <c r="F53" s="7" t="n"/>
      <c r="G53" s="41">
        <f>ROUND(C53*D53,1)</f>
        <v/>
      </c>
      <c r="H53" s="7" t="n"/>
      <c r="I53" s="2" t="n"/>
    </row>
    <row r="54" ht="14.6" customHeight="1" s="39">
      <c r="A54" s="7" t="n"/>
      <c r="B54" s="7" t="n"/>
      <c r="C54" s="40" t="n"/>
      <c r="D54" s="40" t="n"/>
      <c r="E54" s="7" t="n"/>
      <c r="F54" s="7" t="n"/>
      <c r="G54" s="41">
        <f>ROUND(C54*D54,1)</f>
        <v/>
      </c>
      <c r="H54" s="7" t="n"/>
      <c r="I54" s="2" t="n"/>
    </row>
    <row r="55" ht="14.6" customHeight="1" s="39">
      <c r="A55" s="7" t="n"/>
      <c r="B55" s="7" t="n"/>
      <c r="C55" s="40" t="n"/>
      <c r="D55" s="40" t="n"/>
      <c r="E55" s="7" t="n"/>
      <c r="F55" s="7" t="n"/>
      <c r="G55" s="41">
        <f>ROUND(C55*D55,1)</f>
        <v/>
      </c>
      <c r="H55" s="7" t="n"/>
      <c r="I55" s="2" t="n"/>
    </row>
    <row r="56" ht="14.6" customHeight="1" s="39">
      <c r="A56" s="7" t="n"/>
      <c r="B56" s="7" t="n"/>
      <c r="C56" s="40" t="n"/>
      <c r="D56" s="40" t="n"/>
      <c r="E56" s="7" t="n"/>
      <c r="F56" s="7" t="n"/>
      <c r="G56" s="41">
        <f>ROUND(C56*D56,1)</f>
        <v/>
      </c>
      <c r="H56" s="7" t="n"/>
      <c r="I56" s="2" t="n"/>
    </row>
    <row r="57" ht="14.6" customHeight="1" s="39">
      <c r="A57" s="7" t="n"/>
      <c r="B57" s="7" t="n"/>
      <c r="C57" s="40" t="n"/>
      <c r="D57" s="40" t="n"/>
      <c r="E57" s="7" t="n"/>
      <c r="F57" s="7" t="n"/>
      <c r="G57" s="41">
        <f>ROUND(C57*D57,1)</f>
        <v/>
      </c>
      <c r="H57" s="7" t="n"/>
      <c r="I57" s="2" t="n"/>
    </row>
    <row r="58" ht="14.6" customHeight="1" s="39">
      <c r="A58" s="7" t="n"/>
      <c r="B58" s="7" t="n"/>
      <c r="C58" s="40" t="n"/>
      <c r="D58" s="40" t="n"/>
      <c r="E58" s="7" t="n"/>
      <c r="F58" s="7" t="n"/>
      <c r="G58" s="41">
        <f>ROUND(C58*D58,1)</f>
        <v/>
      </c>
      <c r="H58" s="7" t="n"/>
      <c r="I58" s="2" t="n"/>
    </row>
    <row r="59" ht="14.6" customHeight="1" s="39"/>
    <row r="60" ht="14.6" customHeight="1" s="39"/>
    <row r="61" ht="14.6" customHeight="1" s="39"/>
    <row r="62" ht="14.6" customHeight="1" s="39"/>
  </sheetData>
  <dataValidations count="4">
    <dataValidation sqref="D8 D20 D24 D41 D42" showDropDown="0" showInputMessage="0" showErrorMessage="0" allowBlank="0" type="list">
      <formula1>"1,1.3,1.6"</formula1>
    </dataValidation>
    <dataValidation sqref="D9 D21" showDropDown="0" showInputMessage="0" showErrorMessage="0" allowBlank="0" type="list">
      <formula1>"1,1.3"</formula1>
    </dataValidation>
    <dataValidation sqref="D10 D11 D12 D13 D14 D15 D16 D17 D18 D19 D22 D23 D25 D26 D27 D28 D29 D30 D31 D32 D33 D34 D35 D36 D37 D38 D39 D40 D43 D44 D45 D46 D47 D48 D49" showDropDown="0" showInputMessage="0" showErrorMessage="0" allowBlank="0" type="list">
      <formula1>"1"</formula1>
    </dataValidation>
    <dataValidation sqref="C8:C62" showDropDown="0" showInputMessage="0" showErrorMessage="0" allowBlank="0" type="decimal" operator="between">
      <formula1>0</formula1>
      <formula2>1000</formula2>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4472C4"/>
    <outlinePr summaryBelow="1" summaryRight="1"/>
    <pageSetUpPr/>
  </sheetPr>
  <dimension ref="A1:E38"/>
  <sheetViews>
    <sheetView showGridLines="0" workbookViewId="0">
      <pane ySplit="7" topLeftCell="A8" activePane="bottomLeft" state="frozen"/>
      <selection activeCell="A1" sqref="A1"/>
      <selection pane="bottomLeft" activeCell="A1" sqref="A1"/>
    </sheetView>
  </sheetViews>
  <sheetFormatPr baseColWidth="8" defaultColWidth="9" defaultRowHeight="13.5"/>
  <cols>
    <col width="24" customWidth="1" style="39" min="1" max="1"/>
    <col width="51" customWidth="1" style="39" min="2" max="2"/>
    <col width="13" customWidth="1" style="39" min="3" max="3"/>
    <col width="47" customWidth="1" style="39" min="4" max="4"/>
    <col width="58" customWidth="1" style="39" min="5" max="5"/>
  </cols>
  <sheetData>
    <row r="1">
      <c r="A1" s="22" t="n"/>
      <c r="B1" s="22" t="n"/>
      <c r="C1" s="22" t="n"/>
      <c r="D1" s="22" t="n"/>
      <c r="E1" s="22" t="n"/>
    </row>
    <row r="2" ht="24" customHeight="1" s="39">
      <c r="A2" s="4" t="inlineStr">
        <is>
          <t>主动改善评价与计分规则</t>
        </is>
      </c>
      <c r="B2" s="22" t="n"/>
      <c r="C2" s="22" t="n"/>
      <c r="D2" s="22" t="n"/>
      <c r="E2" s="22" t="n"/>
    </row>
    <row r="3" ht="24" customHeight="1" s="39">
      <c r="A3" s="22" t="inlineStr">
        <is>
          <t>月度绩效＝任务完成得分（最高80分）＋主动改善得分（最高20分），总分100分；主动改善不再额外加在100分之外。</t>
        </is>
      </c>
      <c r="B3" s="22" t="n"/>
      <c r="C3" s="22" t="n"/>
      <c r="D3" s="22" t="n"/>
      <c r="E3" s="22" t="n"/>
    </row>
    <row r="4" ht="75" customHeight="1" s="39">
      <c r="A4" s="22" t="inlineStr">
        <is>
          <t>按实际发起来源选择唯一计分路径：负责人安排的工作计任务积分；员工自主发现并发起的改善仅按主动改善2/4/6分档认定，不再叠加任务积分。员工先提出建议、经负责人批准后执行，仍属主动改善；补建任务或认领变化不改变来源。 案例继续在现有主动改善页面记录，并关联任务编号。</t>
        </is>
      </c>
      <c r="B4" s="22" t="n"/>
      <c r="C4" s="22" t="n"/>
      <c r="D4" s="22" t="n"/>
      <c r="E4" s="22" t="n"/>
    </row>
    <row r="5" ht="24" customHeight="1" s="39">
      <c r="A5" s="22" t="inlineStr">
        <is>
          <t>黄色案例分可调整；默认有效发现2分、推动解决4分、形成持续改善6分。同案只取最高档，主动分不乘任务难度系数。</t>
        </is>
      </c>
      <c r="B5" s="22" t="n"/>
      <c r="C5" s="22" t="n"/>
      <c r="D5" s="22" t="n"/>
      <c r="E5" s="22" t="n"/>
    </row>
    <row r="6" ht="26" customHeight="1" s="39">
      <c r="A6" s="23" t="inlineStr">
        <is>
          <t>一、案例等级</t>
        </is>
      </c>
      <c r="B6" s="22" t="n"/>
      <c r="C6" s="22" t="n"/>
      <c r="D6" s="22" t="n"/>
      <c r="E6" s="22" t="n"/>
    </row>
    <row r="7" ht="30" customHeight="1" s="39">
      <c r="A7" s="24" t="inlineStr">
        <is>
          <t>评价档位</t>
        </is>
      </c>
      <c r="B7" s="24" t="inlineStr">
        <is>
          <t>认定标准</t>
        </is>
      </c>
      <c r="C7" s="24" t="inlineStr">
        <is>
          <t>案例分</t>
        </is>
      </c>
      <c r="D7" s="24" t="inlineStr">
        <is>
          <t>必要记录</t>
        </is>
      </c>
      <c r="E7" s="24" t="inlineStr">
        <is>
          <t>验收及计分说明</t>
        </is>
      </c>
    </row>
    <row r="8" ht="78" customHeight="1" s="39">
      <c r="A8" s="25" t="inlineStr">
        <is>
          <t>有效发现</t>
        </is>
      </c>
      <c r="B8" s="25" t="inlineStr">
        <is>
          <t>员工自主发现真实问题，提供证据及可执行建议；问题经确认，建议被采纳。</t>
        </is>
      </c>
      <c r="C8" s="43" t="n">
        <v>2</v>
      </c>
      <c r="D8" s="25" t="inlineStr">
        <is>
          <t>问题对象、发现时间、事实或数据依据、建议措施、确认及采纳记录。</t>
        </is>
      </c>
      <c r="E8" s="25" t="inlineStr">
        <is>
          <t>尚未实施也可认定本档；只指出问题、无可执行建议，或未获确认采纳的，暂不计分。</t>
        </is>
      </c>
    </row>
    <row r="9" ht="78" customHeight="1" s="39">
      <c r="A9" s="25" t="inlineStr">
        <is>
          <t>推动解决</t>
        </is>
      </c>
      <c r="B9" s="25" t="inlineStr">
        <is>
          <t>在有效发现基础上，完成职责范围内的处理、协调及结果核验。</t>
        </is>
      </c>
      <c r="C9" s="43" t="n">
        <v>4</v>
      </c>
      <c r="D9" s="25" t="inlineStr">
        <is>
          <t>关联任务编号、处理措施、授权或批准记录（适用时）、执行及核验结果。</t>
        </is>
      </c>
      <c r="E9" s="25" t="inlineStr">
        <is>
          <t>纠错以恢复正确状态为准，不强求销售增长；协调任务按事先约定的职责节点验收，纯转发或催办不够。</t>
        </is>
      </c>
    </row>
    <row r="10" ht="78" customHeight="1" s="39">
      <c r="A10" s="25" t="inlineStr">
        <is>
          <t>形成持续改善</t>
        </is>
      </c>
      <c r="B10" s="25" t="inlineStr">
        <is>
          <t>在解决问题基础上，形成可复用规则、预警或流程，减少同类问题再次发生，并有验证记录。</t>
        </is>
      </c>
      <c r="C10" s="43" t="n">
        <v>6</v>
      </c>
      <c r="D10" s="25" t="inlineStr">
        <is>
          <t>规则或流程版本、适用范围、落实记录、验证方法及结果。</t>
        </is>
      </c>
      <c r="E10" s="25" t="inlineStr">
        <is>
          <t>只有建议或文档、尚未实施验证的，不认定本档；同一问题的发现、解决和持续改善不逐档累加。</t>
        </is>
      </c>
    </row>
    <row r="11">
      <c r="A11" s="22" t="n"/>
      <c r="B11" s="22" t="n"/>
      <c r="C11" s="22" t="n"/>
      <c r="D11" s="22" t="n"/>
      <c r="E11" s="22" t="n"/>
    </row>
    <row r="12" ht="26" customHeight="1" s="39">
      <c r="A12" s="23" t="inlineStr">
        <is>
          <t>二、主动贡献认定边界</t>
        </is>
      </c>
      <c r="B12" s="22" t="n"/>
      <c r="C12" s="22" t="n"/>
      <c r="D12" s="22" t="n"/>
      <c r="E12" s="22" t="n"/>
    </row>
    <row r="13" ht="30" customHeight="1" s="39">
      <c r="A13" s="24" t="inlineStr">
        <is>
          <t>场景</t>
        </is>
      </c>
      <c r="B13" s="24" t="inlineStr">
        <is>
          <t>判断规则</t>
        </is>
      </c>
      <c r="C13" s="24" t="inlineStr">
        <is>
          <t>主动分</t>
        </is>
      </c>
      <c r="D13" s="24" t="inlineStr">
        <is>
          <t>必要记录</t>
        </is>
      </c>
      <c r="E13" s="24" t="inlineStr">
        <is>
          <t>任务积分处理</t>
        </is>
      </c>
    </row>
    <row r="14" ht="78" customHeight="1" s="39">
      <c r="A14" s="25" t="inlineStr">
        <is>
          <t>系统或负责人已下发</t>
        </is>
      </c>
      <c r="B14" s="25" t="inlineStr">
        <is>
          <t>问题及处理要求已明确，员工按任务要求完成。</t>
        </is>
      </c>
      <c r="C14" s="27" t="inlineStr">
        <is>
          <t>不计</t>
        </is>
      </c>
      <c r="D14" s="25" t="inlineStr">
        <is>
          <t>任务来源、下发时间及执行记录。</t>
        </is>
      </c>
      <c r="E14" s="25" t="inlineStr">
        <is>
          <t>对应任务通过验收后正常计分；主动领取既有任务不等于自主发现。</t>
        </is>
      </c>
    </row>
    <row r="15" ht="78" customHeight="1" s="39">
      <c r="A15" s="25" t="inlineStr">
        <is>
          <t>例行巡检与常规处理</t>
        </is>
      </c>
      <c r="B15" s="25" t="inlineStr">
        <is>
          <t>巡检本属职责，发现常规问题并按既定标准处理。</t>
        </is>
      </c>
      <c r="C15" s="27" t="inlineStr">
        <is>
          <t>通常不计</t>
        </is>
      </c>
      <c r="D15" s="25" t="inlineStr">
        <is>
          <t>巡检职责及处理标准；若有额外贡献，提交对应证据。</t>
        </is>
      </c>
      <c r="E15" s="25" t="inlineStr">
        <is>
          <t>常规职责内的工作仍属正常履职，不因员工自行分析就变成主动改善。另有自主发现、独立发起的改善，须单独确认范围；同一交付不同时计任务分与主动分。</t>
        </is>
      </c>
    </row>
    <row r="16" ht="78" customHeight="1" s="39">
      <c r="A16" s="25" t="inlineStr">
        <is>
          <t>独立发现有效问题</t>
        </is>
      </c>
      <c r="B16" s="25" t="inlineStr">
        <is>
          <t>系统或负责人尚未指出，员工独立发现并提出可执行建议。</t>
        </is>
      </c>
      <c r="C16" s="27" t="inlineStr">
        <is>
          <t>可认定</t>
        </is>
      </c>
      <c r="D16" s="25" t="inlineStr">
        <is>
          <t>发现时间、问题证据、建议及确认采纳记录。</t>
        </is>
      </c>
      <c r="E16" s="25" t="inlineStr">
        <is>
          <t>自主发现并发起的改善只按本页等级认定，不再领取对应执行工作的任务积分。</t>
        </is>
      </c>
    </row>
    <row r="17" ht="78" customHeight="1" s="39">
      <c r="A17" s="25" t="inlineStr">
        <is>
          <t>先提建议、批准后执行</t>
        </is>
      </c>
      <c r="B17" s="25" t="inlineStr">
        <is>
          <t>员工先发现和建议，涉及权限的操作经批准后实施。</t>
        </is>
      </c>
      <c r="C17" s="27" t="inlineStr">
        <is>
          <t>可认定</t>
        </is>
      </c>
      <c r="D17" s="25" t="inlineStr">
        <is>
          <t>发现及建议时间、批准记录、授权范围、执行核验结果。</t>
        </is>
      </c>
      <c r="E17" s="25" t="inlineStr">
        <is>
          <t>员工先提出问题及建议，再获批准并建立任务，仍属主动改善；只计主动分，不计对应任务分。</t>
        </is>
      </c>
    </row>
    <row r="18" ht="78" customHeight="1" s="39">
      <c r="A18" s="25" t="inlineStr">
        <is>
          <t>修复本人操作错误</t>
        </is>
      </c>
      <c r="B18" s="25" t="inlineStr">
        <is>
          <t>员工纠正自己操作造成的价格、内容、广告或其他错误。</t>
        </is>
      </c>
      <c r="C18" s="27" t="inlineStr">
        <is>
          <t>不计</t>
        </is>
      </c>
      <c r="D18" s="25" t="inlineStr">
        <is>
          <t>原操作及返工记录。</t>
        </is>
      </c>
      <c r="E18" s="25" t="inlineStr">
        <is>
          <t>作为原任务返工，不新增任务积分；原任务最终按验收和时效规则处理。</t>
        </is>
      </c>
    </row>
    <row r="19" ht="78" customHeight="1" s="39">
      <c r="A19" s="25" t="inlineStr">
        <is>
          <t>无依据或重复刷操作</t>
        </is>
      </c>
      <c r="B19" s="25" t="inlineStr">
        <is>
          <t>无依据调整、反复修改或人为拆分同一问题。</t>
        </is>
      </c>
      <c r="C19" s="27" t="inlineStr">
        <is>
          <t>不计</t>
        </is>
      </c>
      <c r="D19" s="25" t="inlineStr">
        <is>
          <t>修改日志、问题及方案记录。</t>
        </is>
      </c>
      <c r="E19" s="25" t="inlineStr">
        <is>
          <t>无独立有效交付的操作不另计任务分；同一目标只登记一个主任务。</t>
        </is>
      </c>
    </row>
    <row r="20" ht="78" customHeight="1" s="39">
      <c r="A20" s="25" t="inlineStr">
        <is>
          <t>超出授权范围</t>
        </is>
      </c>
      <c r="B20" s="25" t="inlineStr">
        <is>
          <t>未在规定权限内操作，或应审批而未经批准。</t>
        </is>
      </c>
      <c r="C20" s="27" t="inlineStr">
        <is>
          <t>不计</t>
        </is>
      </c>
      <c r="D20" s="25" t="inlineStr">
        <is>
          <t>授权范围、审批及实际操作记录。</t>
        </is>
      </c>
      <c r="E20" s="25" t="inlineStr">
        <is>
          <t>按公司既有权限和事件处理规则审核；不因表面结果改善而认定主动贡献。</t>
        </is>
      </c>
    </row>
    <row r="21" ht="78" customHeight="1" s="39">
      <c r="A21" s="25" t="inlineStr">
        <is>
          <t>系统自动完成</t>
        </is>
      </c>
      <c r="B21" s="25" t="inlineStr">
        <is>
          <t>系统已自动发现并处理，员工没有独立判断、建议或有效处置贡献。</t>
        </is>
      </c>
      <c r="C21" s="27" t="inlineStr">
        <is>
          <t>不计</t>
        </is>
      </c>
      <c r="D21" s="25" t="inlineStr">
        <is>
          <t>自动执行日志、人工参与记录。</t>
        </is>
      </c>
      <c r="E21" s="25" t="inlineStr">
        <is>
          <t>纯自动步骤不计人工任务分；有实质人工判断或处置的，仅对独立贡献按上述条件认定。</t>
        </is>
      </c>
    </row>
    <row r="22">
      <c r="A22" s="22" t="n"/>
      <c r="B22" s="22" t="n"/>
      <c r="C22" s="22" t="n"/>
      <c r="D22" s="22" t="n"/>
      <c r="E22" s="22" t="n"/>
    </row>
    <row r="23" ht="26" customHeight="1" s="39">
      <c r="A23" s="23" t="inlineStr">
        <is>
          <t>三、四类常见主动工作的归属</t>
        </is>
      </c>
      <c r="B23" s="22" t="n"/>
      <c r="C23" s="22" t="n"/>
      <c r="D23" s="22" t="n"/>
      <c r="E23" s="22" t="n"/>
    </row>
    <row r="24" ht="30" customHeight="1" s="39">
      <c r="A24" s="24" t="inlineStr">
        <is>
          <t>主动工作</t>
        </is>
      </c>
      <c r="B24" s="24" t="inlineStr">
        <is>
          <t>对应任务类型</t>
        </is>
      </c>
      <c r="C24" s="24" t="inlineStr">
        <is>
          <t>任务分</t>
        </is>
      </c>
      <c r="D24" s="24" t="inlineStr">
        <is>
          <t>主动改善评价依据</t>
        </is>
      </c>
      <c r="E24" s="24" t="inlineStr">
        <is>
          <t>记录及防重复要求</t>
        </is>
      </c>
    </row>
    <row r="25" ht="78" customHeight="1" s="39">
      <c r="A25" s="25" t="inlineStr">
        <is>
          <t>主动发现价格不对并调整</t>
        </is>
      </c>
      <c r="B25" s="25" t="inlineStr">
        <is>
          <t>价格调整相关主动改善</t>
        </is>
      </c>
      <c r="C25" s="27" t="inlineStr">
        <is>
          <t>不计任务分</t>
        </is>
      </c>
      <c r="D25" s="25" t="inlineStr">
        <is>
          <t>依据充分，调整合理，核验价格及适用字段生效结果。</t>
        </is>
      </c>
      <c r="E25" s="25" t="inlineStr">
        <is>
          <t>按主动改善案例认定：有效发现2分、推动解决4分、形成持续改善6分，同案取最高档。对应执行及复盘不再计任务积分；审批或补建任务不改变自主发起来源。</t>
        </is>
      </c>
    </row>
    <row r="26" ht="78" customHeight="1" s="39">
      <c r="A26" s="25" t="inlineStr">
        <is>
          <t>主动发现Listing问题并修正</t>
        </is>
      </c>
      <c r="B26" s="25" t="inlineStr">
        <is>
          <t>Listing纠错／优化；或独立图片维护、A+内容增删修改、视频上传与信息维护</t>
        </is>
      </c>
      <c r="C26" s="27" t="inlineStr">
        <is>
          <t>不计任务分</t>
        </is>
      </c>
      <c r="D26" s="25" t="inlineStr">
        <is>
          <t>指出具体问题，提供依据，完成有效修改及展示核验。</t>
        </is>
      </c>
      <c r="E26" s="25" t="inlineStr">
        <is>
          <t>按主动改善案例认定：有效发现2分、推动解决4分、形成持续改善6分，同案取最高档。对应执行及复盘不再计任务积分；审批或补建任务不改变自主发起来源。</t>
        </is>
      </c>
    </row>
    <row r="27" ht="78" customHeight="1" s="39">
      <c r="A27" s="25" t="inlineStr">
        <is>
          <t>主动发现库存冗余并处理</t>
        </is>
      </c>
      <c r="B27" s="25" t="inlineStr">
        <is>
          <t>库存冗余处理</t>
        </is>
      </c>
      <c r="C27" s="27" t="inlineStr">
        <is>
          <t>不计任务分</t>
        </is>
      </c>
      <c r="D27" s="25" t="inlineStr">
        <is>
          <t>有库存及问题依据，提出可执行处置建议并推动落实，记录约定阶段结果。</t>
        </is>
      </c>
      <c r="E27" s="25" t="inlineStr">
        <is>
          <t>按主动改善案例认定：有效发现2分、推动解决4分、形成持续改善6分，同案取最高档。对应执行及复盘不再计任务积分；审批或补建任务不改变自主发起来源。</t>
        </is>
      </c>
    </row>
    <row r="28" ht="78" customHeight="1" s="39">
      <c r="A28" s="25" t="inlineStr">
        <is>
          <t>主动发现广告问题并优化</t>
        </is>
      </c>
      <c r="B28" s="25" t="inlineStr">
        <is>
          <t>员工自主发起的Campaign优化</t>
        </is>
      </c>
      <c r="C28" s="27" t="inlineStr">
        <is>
          <t>不计任务分</t>
        </is>
      </c>
      <c r="D28" s="25" t="inlineStr">
        <is>
          <t>有数据及判断依据，明确目标和观察期；执行后完成必要复查。</t>
        </is>
      </c>
      <c r="E28" s="25" t="inlineStr">
        <is>
          <t>按主动改善案例认定：有效发现2分、推动解决4分、形成持续改善6分，同案取最高档。对应执行及复盘不再计任务积分；审批或补建任务不改变自主发起来源。</t>
        </is>
      </c>
    </row>
    <row r="29">
      <c r="A29" s="22" t="n"/>
      <c r="B29" s="22" t="n"/>
      <c r="C29" s="22" t="n"/>
      <c r="D29" s="22" t="n"/>
      <c r="E29" s="22" t="n"/>
    </row>
    <row r="30" ht="26" customHeight="1" s="39">
      <c r="A30" s="23" t="inlineStr">
        <is>
          <t>四、月度结算与协作规则</t>
        </is>
      </c>
      <c r="B30" s="22" t="n"/>
      <c r="C30" s="22" t="n"/>
      <c r="D30" s="22" t="n"/>
      <c r="E30" s="22" t="n"/>
    </row>
    <row r="31" ht="30" customHeight="1" s="39">
      <c r="A31" s="24" t="inlineStr">
        <is>
          <t>规则</t>
        </is>
      </c>
      <c r="B31" s="24" t="inlineStr">
        <is>
          <t>执行标准</t>
        </is>
      </c>
      <c r="C31" s="24" t="inlineStr">
        <is>
          <t>分值／口径</t>
        </is>
      </c>
      <c r="D31" s="24" t="inlineStr">
        <is>
          <t>必要记录</t>
        </is>
      </c>
      <c r="E31" s="24" t="inlineStr">
        <is>
          <t>结算说明</t>
        </is>
      </c>
    </row>
    <row r="32" ht="78" customHeight="1" s="39">
      <c r="A32" s="25" t="inlineStr">
        <is>
          <t>月度上限</t>
        </is>
      </c>
      <c r="B32" s="25" t="inlineStr">
        <is>
          <t>按个人汇总当月通过认定的案例分或升级补差，主动改善得分不得超过本行上限。</t>
        </is>
      </c>
      <c r="C32" s="28" t="n">
        <v>20</v>
      </c>
      <c r="D32" s="25" t="inlineStr">
        <is>
          <t>现有页面导出的个人案例明细、核定分值及认定日期。</t>
        </is>
      </c>
      <c r="E32" s="25" t="inlineStr">
        <is>
          <t>主动改善得分＝MIN（当月案例核定分及升级补差合计，月度上限20分）；总绩效最高100分。任务完成部分须折算至最高80分，不把原始任务积分直接相加。</t>
        </is>
      </c>
    </row>
    <row r="33" ht="78" customHeight="1" s="39">
      <c r="A33" s="25" t="inlineStr">
        <is>
          <t>同案只取最高档</t>
        </is>
      </c>
      <c r="B33" s="25" t="inlineStr">
        <is>
          <t>同一问题、同一目标视为一个案例，不按动作、字段、消息或提交次数拆分。</t>
        </is>
      </c>
      <c r="C33" s="27" t="inlineStr">
        <is>
          <t>取最高档</t>
        </is>
      </c>
      <c r="D33" s="25" t="inlineStr">
        <is>
          <t>唯一案例编号、问题对象、改善目标及关联任务编号。</t>
        </is>
      </c>
      <c r="E33" s="25" t="inlineStr">
        <is>
          <t>多个ASIN受到同一问题影响可合并；同一ASIN的独立问题有不同依据、措施和交付时可分别认定。</t>
        </is>
      </c>
    </row>
    <row r="34" ht="78" customHeight="1" s="39">
      <c r="A34" s="25" t="inlineStr">
        <is>
          <t>升级及跨月</t>
        </is>
      </c>
      <c r="B34" s="25" t="inlineStr">
        <is>
          <t>已计分案例后续达到更高档，只计新档分值减去历次已认定分值的正差额。</t>
        </is>
      </c>
      <c r="C34" s="27" t="inlineStr">
        <is>
          <t>只补差额</t>
        </is>
      </c>
      <c r="D34" s="25" t="inlineStr">
        <is>
          <t>历史等级、历史已认定分、升级证据及本次差额。</t>
        </is>
      </c>
      <c r="E34" s="25" t="inlineStr">
        <is>
          <t>月度封顶被截去的部分不顺延补领，也不能通过升级重新领取；待验收案例于通过认定月份计分。</t>
        </is>
      </c>
    </row>
    <row r="35" ht="78" customHeight="1" s="39">
      <c r="A35" s="25" t="inlineStr">
        <is>
          <t>多人合作</t>
        </is>
      </c>
      <c r="B35" s="25" t="inlineStr">
        <is>
          <t>按实际发现、分析、执行、协调及验证贡献，在案例总分内分配个人份额。</t>
        </is>
      </c>
      <c r="C35" s="27" t="inlineStr">
        <is>
          <t>总分不增</t>
        </is>
      </c>
      <c r="D35" s="25" t="inlineStr">
        <is>
          <t>各人贡献、个人分配分值及负责人确认记录。</t>
        </is>
      </c>
      <c r="E35" s="25" t="inlineStr">
        <is>
          <t>参与者分数之和不得超过该案例档位分；升级后只分配新增差额，保留原已认定贡献。</t>
        </is>
      </c>
    </row>
    <row r="36" ht="78" customHeight="1" s="39">
      <c r="A36" s="25" t="inlineStr">
        <is>
          <t>记录与验收</t>
        </is>
      </c>
      <c r="B36" s="25" t="inlineStr">
        <is>
          <t>现有页面保留案例编号、人员及贡献、问题和建议、证据、关联任务、权限记录、验收结论、等级及分值。</t>
        </is>
      </c>
      <c r="C36" s="27" t="inlineStr">
        <is>
          <t>统一口径</t>
        </is>
      </c>
      <c r="D36" s="25" t="inlineStr">
        <is>
          <t>记录发起来源、原始指令或员工首次提议时间、审批记录及关联任务。有效发现核验采纳，推动解决核验结果，持续改善核验落实。</t>
        </is>
      </c>
      <c r="E36" s="25" t="inlineStr">
        <is>
          <t>负责人按本页标准认定；原因不按文字长度加分，证据可为日志、前后对照、截图、处理单或验证记录。</t>
        </is>
      </c>
    </row>
    <row r="37" ht="78" customHeight="1" s="39">
      <c r="A37" s="25" t="inlineStr">
        <is>
          <t>0分关联入口</t>
        </is>
      </c>
      <c r="B37" s="25" t="inlineStr">
        <is>
          <t>主动价格优化及VOC关联入口仅作记录和追溯；Brand Store不再单列主动优化0分项目，自主发起的店铺改善直接登记主动改善案例。计分按发起来源，不通过关联主任务重复领取任务分。</t>
        </is>
      </c>
      <c r="C37" s="27" t="inlineStr">
        <is>
          <t>仅防重计</t>
        </is>
      </c>
      <c r="D37" s="25" t="inlineStr">
        <is>
          <t>实际主任务编号及主动改善案例编号。</t>
        </is>
      </c>
      <c r="E37" s="25" t="inlineStr">
        <is>
          <t>负责人安排的工作计任务分；自主发起改善计主动分，二者互斥。已计分后发现来源归属错误，先冲销原路径再按正确路径结算，不能两边保留。</t>
        </is>
      </c>
    </row>
    <row r="38">
      <c r="A38" s="22" t="n"/>
      <c r="B38" s="22" t="n"/>
      <c r="C38" s="22" t="n"/>
      <c r="D38" s="22" t="n"/>
      <c r="E38" s="22" t="n"/>
    </row>
  </sheetData>
  <dataValidations count="1">
    <dataValidation sqref="C8:C10" showDropDown="0" showInputMessage="0" showErrorMessage="0" allowBlank="0" type="decimal" operator="between">
      <formula1>0</formula1>
      <formula2>10</formula2>
    </dataValidation>
  </dataValidations>
  <pageMargins left="0.7" right="0.7" top="0.75" bottom="0.75" header="0.3" footer="0.3"/>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4.xml><?xml version="1.0" encoding="utf-8"?>
<worksheet xmlns="http://schemas.openxmlformats.org/spreadsheetml/2006/main">
  <sheetPr>
    <tabColor rgb="FF4472C4"/>
    <outlinePr summaryBelow="1" summaryRight="1"/>
    <pageSetUpPr/>
  </sheetPr>
  <dimension ref="A2:H209"/>
  <sheetViews>
    <sheetView showGridLines="0" workbookViewId="0">
      <pane ySplit="7" topLeftCell="A8" activePane="bottomLeft" state="frozen"/>
      <selection activeCell="A1" sqref="A1"/>
      <selection pane="bottomLeft" activeCell="A1" sqref="A1"/>
    </sheetView>
  </sheetViews>
  <sheetFormatPr baseColWidth="8" defaultColWidth="9" defaultRowHeight="13.5"/>
  <cols>
    <col width="18" customWidth="1" style="39" min="1" max="1"/>
    <col width="42" customWidth="1" style="39" min="2" max="2"/>
    <col width="14" customWidth="1" style="39" min="3" max="4"/>
    <col width="15" customWidth="1" style="39" min="5" max="5"/>
    <col width="20" customWidth="1" style="39" min="6" max="6"/>
    <col width="52" customWidth="1" style="39" min="7" max="7"/>
    <col width="65" customWidth="1" style="39" min="8" max="8"/>
  </cols>
  <sheetData>
    <row r="2" ht="25" customHeight="1" s="39">
      <c r="A2" s="4" t="inlineStr">
        <is>
          <t>已确认的上架、图片、A+和视频场景</t>
        </is>
      </c>
    </row>
    <row r="3" ht="25" customHeight="1" s="39">
      <c r="A3" s="5" t="inlineStr">
        <is>
          <t>示例按当前已确认分值展示；黄色C、D列为本例基础分与系数，E列自动计算。修改数量或范围时，应回“任务评分”按等级重新选择分值。</t>
        </is>
      </c>
    </row>
    <row r="4" ht="25" customHeight="1" s="39">
      <c r="A4" s="5" t="inlineStr">
        <is>
          <t>本页普通任务积分示例以负责人安排为前提；自主发起改善只按主动改善案例等级计分，不叠加示例任务积分。同一工作只选一条路径。</t>
        </is>
      </c>
    </row>
    <row r="7" ht="32" customHeight="1" s="39">
      <c r="A7" s="6" t="inlineStr">
        <is>
          <t>工作类型</t>
        </is>
      </c>
      <c r="B7" s="6" t="inlineStr">
        <is>
          <t>实际场景</t>
        </is>
      </c>
      <c r="C7" s="6" t="inlineStr">
        <is>
          <t>基础分</t>
        </is>
      </c>
      <c r="D7" s="6" t="inlineStr">
        <is>
          <t>难度系数</t>
        </is>
      </c>
      <c r="E7" s="6" t="inlineStr">
        <is>
          <t>任务积分</t>
        </is>
      </c>
      <c r="F7" s="6" t="inlineStr">
        <is>
          <t>工作范围</t>
        </is>
      </c>
      <c r="G7" s="6" t="inlineStr">
        <is>
          <t>基础分选档依据</t>
        </is>
      </c>
      <c r="H7" s="6" t="inlineStr">
        <is>
          <t>难度及计分说明</t>
        </is>
      </c>
    </row>
    <row r="8" ht="95" customHeight="1" s="39">
      <c r="A8" s="7" t="inlineStr">
        <is>
          <t>Listing上架</t>
        </is>
      </c>
      <c r="B8" s="7" t="inlineStr">
        <is>
          <t>1个独立SKU上架</t>
        </is>
      </c>
      <c r="C8" s="40" t="n">
        <v>5</v>
      </c>
      <c r="D8" s="40" t="n">
        <v>1</v>
      </c>
      <c r="E8" s="41">
        <f>ROUND(C8*D8,1)</f>
        <v/>
      </c>
      <c r="F8" s="7" t="inlineStr">
        <is>
          <t>无变体关系操作</t>
        </is>
      </c>
      <c r="G8" s="7" t="inlineStr">
        <is>
          <t>1个SKU：5分</t>
        </is>
      </c>
      <c r="H8" s="7" t="inlineStr">
        <is>
          <t>不新增或调整任何父子关系：1.0。</t>
        </is>
      </c>
    </row>
    <row r="9" ht="95" customHeight="1" s="39">
      <c r="A9" s="7" t="inlineStr">
        <is>
          <t>Listing上架</t>
        </is>
      </c>
      <c r="B9" s="7" t="inlineStr">
        <is>
          <t>5个独立SKU上架</t>
        </is>
      </c>
      <c r="C9" s="40" t="n">
        <v>8</v>
      </c>
      <c r="D9" s="40" t="n">
        <v>1</v>
      </c>
      <c r="E9" s="41">
        <f>ROUND(C9*D9,1)</f>
        <v/>
      </c>
      <c r="F9" s="7" t="inlineStr">
        <is>
          <t>5个SKU均独立上架，不建立或调整父子关系</t>
        </is>
      </c>
      <c r="G9" s="7" t="inlineStr">
        <is>
          <t>2个及以上SKU共用一张上架表：8分</t>
        </is>
      </c>
      <c r="H9" s="7" t="inlineStr">
        <is>
          <t>不新增或调整任何父子关系：1.0。</t>
        </is>
      </c>
    </row>
    <row r="10" ht="95" customHeight="1" s="39">
      <c r="A10" s="7" t="inlineStr">
        <is>
          <t>Listing上架</t>
        </is>
      </c>
      <c r="B10" s="7" t="inlineStr">
        <is>
          <t>5个SKU组成一个变体</t>
        </is>
      </c>
      <c r="C10" s="40" t="n">
        <v>8</v>
      </c>
      <c r="D10" s="40" t="n">
        <v>1.3</v>
      </c>
      <c r="E10" s="41">
        <f>ROUND(C10*D10,1)</f>
        <v/>
      </c>
      <c r="F10" s="7" t="inlineStr">
        <is>
          <t>5个SKU全部组成或加入同一个父体下的变体组</t>
        </is>
      </c>
      <c r="G10" s="7" t="inlineStr">
        <is>
          <t>2个及以上SKU共用一张上架表：8分</t>
        </is>
      </c>
      <c r="H10" s="7" t="inlineStr">
        <is>
          <t>本次需处理关系的不同父体数为1：1.3；新建或已有父体均可，不另计变体关系维护。</t>
        </is>
      </c>
    </row>
    <row r="11" ht="95" customHeight="1" s="39">
      <c r="A11" s="7" t="inlineStr">
        <is>
          <t>Listing上架</t>
        </is>
      </c>
      <c r="B11" s="7" t="inlineStr">
        <is>
          <t>5个SKU加入不同变体</t>
        </is>
      </c>
      <c r="C11" s="40" t="n">
        <v>8</v>
      </c>
      <c r="D11" s="40" t="n">
        <v>1.6</v>
      </c>
      <c r="E11" s="41">
        <f>ROUND(C11*D11,1)</f>
        <v/>
      </c>
      <c r="F11" s="7" t="inlineStr">
        <is>
          <t>5个SKU分别加入两个及以上已明确的目标变体组</t>
        </is>
      </c>
      <c r="G11" s="7" t="inlineStr">
        <is>
          <t>2个及以上SKU共用一张上架表：8分</t>
        </is>
      </c>
      <c r="H11" s="7" t="inlineStr">
        <is>
          <t>本次需处理关系的不同父体数为2个及以上：1.6；不另计变体关系维护。</t>
        </is>
      </c>
    </row>
    <row r="12" ht="95" customHeight="1" s="39">
      <c r="A12" s="7" t="inlineStr">
        <is>
          <t>图片上传</t>
        </is>
      </c>
      <c r="B12" s="7" t="inlineStr">
        <is>
          <t>1个SKU各用独立图片</t>
        </is>
      </c>
      <c r="C12" s="40" t="n">
        <v>2</v>
      </c>
      <c r="D12" s="40" t="n">
        <v>1</v>
      </c>
      <c r="E12" s="41">
        <f>ROUND(C12*D12,1)</f>
        <v/>
      </c>
      <c r="F12" s="7" t="inlineStr">
        <is>
          <t>1个SKU有可用图片</t>
        </is>
      </c>
      <c r="G12" s="7" t="inlineStr">
        <is>
          <t>每SKU2分</t>
        </is>
      </c>
      <c r="H12" s="7" t="inlineStr">
        <is>
          <t>OA有可用图片，上传并核验。</t>
        </is>
      </c>
    </row>
    <row r="13" ht="95" customHeight="1" s="39">
      <c r="A13" s="7" t="inlineStr">
        <is>
          <t>图片上传</t>
        </is>
      </c>
      <c r="B13" s="7" t="inlineStr">
        <is>
          <t>5个SKU各用独立图片</t>
        </is>
      </c>
      <c r="C13" s="40" t="n">
        <v>10</v>
      </c>
      <c r="D13" s="40" t="n">
        <v>1</v>
      </c>
      <c r="E13" s="41">
        <f>ROUND(C13*D13,1)</f>
        <v/>
      </c>
      <c r="F13" s="7" t="inlineStr">
        <is>
          <t>5个SKU分别上传自己的图片</t>
        </is>
      </c>
      <c r="G13" s="7" t="inlineStr">
        <is>
          <t>5×2＝10分</t>
        </is>
      </c>
      <c r="H13" s="7" t="inlineStr">
        <is>
          <t>每个SKU独立计分，不按批量打折。</t>
        </is>
      </c>
    </row>
    <row r="14" ht="95" customHeight="1" s="39">
      <c r="A14" s="7" t="inlineStr">
        <is>
          <t>图片上传</t>
        </is>
      </c>
      <c r="B14" s="7" t="inlineStr">
        <is>
          <t>10个SKU各用独立图片</t>
        </is>
      </c>
      <c r="C14" s="40" t="n">
        <v>20</v>
      </c>
      <c r="D14" s="40" t="n">
        <v>1</v>
      </c>
      <c r="E14" s="41">
        <f>ROUND(C14*D14,1)</f>
        <v/>
      </c>
      <c r="F14" s="7" t="inlineStr">
        <is>
          <t>10个SKU分别上传自己的图片</t>
        </is>
      </c>
      <c r="G14" s="7" t="inlineStr">
        <is>
          <t>10×2＝20分</t>
        </is>
      </c>
      <c r="H14" s="7" t="inlineStr">
        <is>
          <t>若10个SKU均需向产品负责人取图，则20×1.3＝26分。</t>
        </is>
      </c>
    </row>
    <row r="15" ht="95" customHeight="1" s="39">
      <c r="A15" s="7" t="inlineStr">
        <is>
          <t>A+应用</t>
        </is>
      </c>
      <c r="B15" s="7" t="inlineStr">
        <is>
          <t>加入原有A+</t>
        </is>
      </c>
      <c r="C15" s="40" t="n">
        <v>5</v>
      </c>
      <c r="D15" s="40" t="n">
        <v>1</v>
      </c>
      <c r="E15" s="41">
        <f>ROUND(C15*D15,1)</f>
        <v/>
      </c>
      <c r="F15" s="7" t="inlineStr">
        <is>
          <t>5个SKU加入同一份已有A+</t>
        </is>
      </c>
      <c r="G15" s="7" t="inlineStr">
        <is>
          <t>5×1＝5分</t>
        </is>
      </c>
      <c r="H15" s="7" t="inlineStr">
        <is>
          <t>已有A+按SKU计分。</t>
        </is>
      </c>
    </row>
    <row r="16" ht="95" customHeight="1" s="39">
      <c r="A16" s="7" t="inlineStr">
        <is>
          <t>A+制作</t>
        </is>
      </c>
      <c r="B16" s="7" t="inlineStr">
        <is>
          <t>多个新产品共用新A+</t>
        </is>
      </c>
      <c r="C16" s="40" t="n">
        <v>10</v>
      </c>
      <c r="D16" s="40" t="n">
        <v>1</v>
      </c>
      <c r="E16" s="41">
        <f>ROUND(C16*D16,1)</f>
        <v/>
      </c>
      <c r="F16" s="7" t="inlineStr">
        <is>
          <t>5个SKU共用1份新A+</t>
        </is>
      </c>
      <c r="G16" s="7" t="inlineStr">
        <is>
          <t>1×10＝10分</t>
        </is>
      </c>
      <c r="H16" s="7" t="inlineStr">
        <is>
          <t>含首次绑定；不再加5分绑定分。</t>
        </is>
      </c>
    </row>
    <row r="17" ht="95" customHeight="1" s="39">
      <c r="A17" s="7" t="inlineStr">
        <is>
          <t>A+制作</t>
        </is>
      </c>
      <c r="B17" s="7" t="inlineStr">
        <is>
          <t>每个ASIN分别制作不同A+</t>
        </is>
      </c>
      <c r="C17" s="40" t="n">
        <v>50</v>
      </c>
      <c r="D17" s="40" t="n">
        <v>1</v>
      </c>
      <c r="E17" s="41">
        <f>ROUND(C17*D17,1)</f>
        <v/>
      </c>
      <c r="F17" s="7" t="inlineStr">
        <is>
          <t>5个SKU分别制作5份新A+</t>
        </is>
      </c>
      <c r="G17" s="7" t="inlineStr">
        <is>
          <t>5×10＝50分</t>
        </is>
      </c>
      <c r="H17" s="7" t="inlineStr">
        <is>
          <t>每份独立内容10分。</t>
        </is>
      </c>
    </row>
    <row r="18" ht="95" customHeight="1" s="39">
      <c r="A18" s="7" t="inlineStr">
        <is>
          <t>视频绑定</t>
        </is>
      </c>
      <c r="B18" s="7" t="inlineStr">
        <is>
          <t>ASIN加入原有视频</t>
        </is>
      </c>
      <c r="C18" s="40" t="n">
        <v>2</v>
      </c>
      <c r="D18" s="40" t="n">
        <v>1</v>
      </c>
      <c r="E18" s="41">
        <f>ROUND(C18*D18,1)</f>
        <v/>
      </c>
      <c r="F18" s="7" t="inlineStr">
        <is>
          <t>5个SKU加入同一已有视频</t>
        </is>
      </c>
      <c r="G18" s="7" t="inlineStr">
        <is>
          <t>同视频2个及以上SKU：2分</t>
        </is>
      </c>
      <c r="H18" s="7" t="inlineStr">
        <is>
          <t>若加入5个不同已有视频，则5分。</t>
        </is>
      </c>
    </row>
    <row r="19" ht="95" customHeight="1" s="39">
      <c r="A19" s="7" t="inlineStr">
        <is>
          <t>视频上传</t>
        </is>
      </c>
      <c r="B19" s="7" t="inlineStr">
        <is>
          <t>多个产品共用新视频</t>
        </is>
      </c>
      <c r="C19" s="40" t="n">
        <v>3</v>
      </c>
      <c r="D19" s="40" t="n">
        <v>1</v>
      </c>
      <c r="E19" s="41">
        <f>ROUND(C19*D19,1)</f>
        <v/>
      </c>
      <c r="F19" s="7" t="inlineStr">
        <is>
          <t>5个SKU共用1个新上传视频</t>
        </is>
      </c>
      <c r="G19" s="7" t="inlineStr">
        <is>
          <t>1×3＝3分</t>
        </is>
      </c>
      <c r="H19" s="7" t="inlineStr">
        <is>
          <t>含首次SKU绑定，不另加绑定分。</t>
        </is>
      </c>
    </row>
    <row r="20" ht="95" customHeight="1" s="39">
      <c r="A20" s="7" t="inlineStr">
        <is>
          <t>视频上传</t>
        </is>
      </c>
      <c r="B20" s="7" t="inlineStr">
        <is>
          <t>每个ASIN上传不同视频</t>
        </is>
      </c>
      <c r="C20" s="40" t="n">
        <v>15</v>
      </c>
      <c r="D20" s="40" t="n">
        <v>1</v>
      </c>
      <c r="E20" s="41">
        <f>ROUND(C20*D20,1)</f>
        <v/>
      </c>
      <c r="F20" s="7" t="inlineStr">
        <is>
          <t>5个SKU分别上传不同新视频</t>
        </is>
      </c>
      <c r="G20" s="7" t="inlineStr">
        <is>
          <t>5×3＝15分</t>
        </is>
      </c>
      <c r="H20" s="7" t="inlineStr">
        <is>
          <t>按不同新视频数量计分，不含拍摄剪辑。</t>
        </is>
      </c>
    </row>
    <row r="21" ht="13.85" customHeight="1" s="39">
      <c r="A21" s="2" t="n"/>
      <c r="B21" s="2" t="n"/>
      <c r="C21" s="2" t="n"/>
      <c r="D21" s="2" t="n"/>
      <c r="E21" s="2" t="n"/>
      <c r="F21" s="2" t="n"/>
      <c r="G21" s="2" t="n"/>
      <c r="H21" s="2" t="n"/>
    </row>
    <row r="22" ht="13.85" customHeight="1" s="39">
      <c r="A22" s="2" t="n"/>
      <c r="B22" s="2" t="n"/>
      <c r="C22" s="2" t="n"/>
      <c r="D22" s="2" t="n"/>
      <c r="E22" s="2" t="n"/>
      <c r="F22" s="2" t="n"/>
      <c r="G22" s="2" t="n"/>
      <c r="H22" s="2" t="n"/>
    </row>
    <row r="23" ht="28" customHeight="1" s="39">
      <c r="A23" s="10" t="inlineStr">
        <is>
          <t>OA一条一个SKU：建立上架执行组编号</t>
        </is>
      </c>
      <c r="B23" s="2" t="n"/>
      <c r="C23" s="2" t="n"/>
      <c r="D23" s="2" t="n"/>
      <c r="E23" s="2" t="n"/>
      <c r="F23" s="2" t="n"/>
      <c r="G23" s="2" t="n"/>
      <c r="H23" s="2" t="n"/>
    </row>
    <row r="24" ht="25" customHeight="1" s="39">
      <c r="A24" s="11" t="inlineStr">
        <is>
          <t>步骤1：识别同一次上架安排。创建人相同、时间接近、序号接近只作为候选线索，最终核对任务内容；创建人不等于执行人，不能只凭这些线索自动定组。</t>
        </is>
      </c>
      <c r="B24" s="2" t="n"/>
      <c r="C24" s="2" t="n"/>
      <c r="D24" s="2" t="n"/>
      <c r="E24" s="2" t="n"/>
      <c r="F24" s="2" t="n"/>
      <c r="G24" s="2" t="n"/>
      <c r="H24" s="2" t="n"/>
    </row>
    <row r="25" ht="25" customHeight="1" s="39">
      <c r="A25" s="11" t="inlineStr">
        <is>
          <t>步骤2：同次安排内，按同一执行人、同一站点、能共用一张上架表确定执行组。先看SKU字母前缀，再确认模板适用性；每条OA关联所属组编号。</t>
        </is>
      </c>
      <c r="B25" s="2" t="n"/>
      <c r="C25" s="2" t="n"/>
      <c r="D25" s="2" t="n"/>
      <c r="E25" s="2" t="n"/>
      <c r="F25" s="2" t="n"/>
      <c r="G25" s="2" t="n"/>
      <c r="H25" s="2" t="n"/>
    </row>
    <row r="26" ht="25" customHeight="1" s="39">
      <c r="A26" s="11" t="inlineStr">
        <is>
          <t>步骤3：统计组内本次需要新增或调整关系的不同父体数：0个用1.0，1个用1.3，2个及以上用1.6。新建和已有父体均计入；同一父体下多个子SKU只计1个父体。</t>
        </is>
      </c>
      <c r="B26" s="2" t="n"/>
      <c r="C26" s="2" t="n"/>
      <c r="D26" s="2" t="n"/>
      <c r="E26" s="2" t="n"/>
      <c r="F26" s="2" t="n"/>
      <c r="G26" s="2" t="n"/>
      <c r="H26" s="2" t="n"/>
    </row>
    <row r="27" ht="25" customHeight="1" s="39">
      <c r="A27" s="11" t="inlineStr">
        <is>
          <t>混合任务：本组既有独立上架SKU，也有加入变体的SKU时，只统计需要处理关系的父体；不把独立SKU当父体。同表重复提交不新增组，不能人为拆表提高积分。</t>
        </is>
      </c>
      <c r="B27" s="2" t="n"/>
      <c r="C27" s="2" t="n"/>
      <c r="D27" s="2" t="n"/>
      <c r="E27" s="2" t="n"/>
      <c r="F27" s="2" t="n"/>
      <c r="G27" s="2" t="n"/>
      <c r="H27" s="2" t="n"/>
    </row>
    <row r="28" ht="25" customHeight="1" s="39">
      <c r="A28" s="11" t="inlineStr">
        <is>
          <t>组内积分分摊至所属OA，保留2位小数并处理尾差；月度只统计组总分或OA分摊分中的一种。多人确需共同完成一组时，事先约定贡献分配，总分不重复增加。</t>
        </is>
      </c>
      <c r="B28" s="2" t="n"/>
      <c r="C28" s="2" t="n"/>
      <c r="D28" s="2" t="n"/>
      <c r="E28" s="2" t="n"/>
      <c r="F28" s="2" t="n"/>
      <c r="G28" s="2" t="n"/>
      <c r="H28" s="2" t="n"/>
    </row>
    <row r="29" ht="13.85" customHeight="1" s="39">
      <c r="A29" s="2" t="n"/>
      <c r="B29" s="2" t="n"/>
      <c r="C29" s="2" t="n"/>
      <c r="D29" s="2" t="n"/>
      <c r="E29" s="2" t="n"/>
      <c r="F29" s="2" t="n"/>
      <c r="G29" s="2" t="n"/>
      <c r="H29" s="2" t="n"/>
    </row>
    <row r="30" ht="32" customHeight="1" s="39">
      <c r="A30" s="6" t="inlineStr">
        <is>
          <t>工作类型</t>
        </is>
      </c>
      <c r="B30" s="6" t="inlineStr">
        <is>
          <t>确认后的批次场景</t>
        </is>
      </c>
      <c r="C30" s="6" t="inlineStr">
        <is>
          <t>基础分</t>
        </is>
      </c>
      <c r="D30" s="6" t="inlineStr">
        <is>
          <t>难度系数</t>
        </is>
      </c>
      <c r="E30" s="6" t="inlineStr">
        <is>
          <t>批次总分</t>
        </is>
      </c>
      <c r="F30" s="6" t="inlineStr">
        <is>
          <t>OA任务条数</t>
        </is>
      </c>
      <c r="G30" s="6" t="inlineStr">
        <is>
          <t>每条OA分摊分</t>
        </is>
      </c>
      <c r="H30" s="6" t="inlineStr">
        <is>
          <t>记录与结算</t>
        </is>
      </c>
    </row>
    <row r="31" ht="84" customHeight="1" s="39">
      <c r="A31" s="7" t="inlineStr">
        <is>
          <t>Listing上架</t>
        </is>
      </c>
      <c r="B31" s="7" t="inlineStr">
        <is>
          <t>1个独立SKU上架</t>
        </is>
      </c>
      <c r="C31" s="44">
        <f>C8</f>
        <v/>
      </c>
      <c r="D31" s="44">
        <f>D8</f>
        <v/>
      </c>
      <c r="E31" s="44">
        <f>E8</f>
        <v/>
      </c>
      <c r="F31" s="13" t="n">
        <v>1</v>
      </c>
      <c r="G31" s="14">
        <f>ROUND(E31/F31,2)</f>
        <v/>
      </c>
      <c r="H31" s="7" t="inlineStr">
        <is>
          <t>本例均为一个上架表组。OA逐条关联该组编号；本例按SKU均分。组总分和OA分摊分只能汇总一种。</t>
        </is>
      </c>
    </row>
    <row r="32" ht="84" customHeight="1" s="39">
      <c r="A32" s="7" t="inlineStr">
        <is>
          <t>Listing上架</t>
        </is>
      </c>
      <c r="B32" s="7" t="inlineStr">
        <is>
          <t>5个独立SKU上架</t>
        </is>
      </c>
      <c r="C32" s="44">
        <f>C9</f>
        <v/>
      </c>
      <c r="D32" s="44">
        <f>D9</f>
        <v/>
      </c>
      <c r="E32" s="44">
        <f>E9</f>
        <v/>
      </c>
      <c r="F32" s="13" t="n">
        <v>5</v>
      </c>
      <c r="G32" s="14">
        <f>ROUND(E32/F32,2)</f>
        <v/>
      </c>
      <c r="H32" s="7" t="inlineStr">
        <is>
          <t>本例均为一个上架表组。OA逐条关联该组编号；本例按SKU均分。组总分和OA分摊分只能汇总一种。</t>
        </is>
      </c>
    </row>
    <row r="33" ht="84" customHeight="1" s="39">
      <c r="A33" s="7" t="inlineStr">
        <is>
          <t>Listing上架</t>
        </is>
      </c>
      <c r="B33" s="7" t="inlineStr">
        <is>
          <t>5个SKU组成一个变体</t>
        </is>
      </c>
      <c r="C33" s="44">
        <f>C10</f>
        <v/>
      </c>
      <c r="D33" s="44">
        <f>D10</f>
        <v/>
      </c>
      <c r="E33" s="44">
        <f>E10</f>
        <v/>
      </c>
      <c r="F33" s="13" t="n">
        <v>5</v>
      </c>
      <c r="G33" s="14">
        <f>ROUND(E33/F33,2)</f>
        <v/>
      </c>
      <c r="H33" s="7" t="inlineStr">
        <is>
          <t>本例均为一个上架表组。OA逐条关联该组编号；本例按SKU均分。组总分和OA分摊分只能汇总一种。</t>
        </is>
      </c>
    </row>
    <row r="34" ht="84" customHeight="1" s="39">
      <c r="A34" s="7" t="inlineStr">
        <is>
          <t>Listing上架</t>
        </is>
      </c>
      <c r="B34" s="7" t="inlineStr">
        <is>
          <t>5个SKU加入不同变体</t>
        </is>
      </c>
      <c r="C34" s="44">
        <f>C11</f>
        <v/>
      </c>
      <c r="D34" s="44">
        <f>D11</f>
        <v/>
      </c>
      <c r="E34" s="44">
        <f>E11</f>
        <v/>
      </c>
      <c r="F34" s="13" t="n">
        <v>5</v>
      </c>
      <c r="G34" s="14">
        <f>ROUND(E34/F34,2)</f>
        <v/>
      </c>
      <c r="H34" s="7" t="inlineStr">
        <is>
          <t>本例均为一个上架表组。OA逐条关联该组编号；本例按SKU均分。组总分和OA分摊分只能汇总一种。</t>
        </is>
      </c>
    </row>
    <row r="35" ht="13.85" customHeight="1" s="39">
      <c r="A35" s="2" t="n"/>
      <c r="B35" s="2" t="n"/>
      <c r="C35" s="2" t="n"/>
      <c r="D35" s="2" t="n"/>
      <c r="E35" s="2" t="n"/>
      <c r="F35" s="2" t="n"/>
      <c r="G35" s="2" t="n"/>
      <c r="H35" s="2" t="n"/>
    </row>
    <row r="36" ht="13.85" customHeight="1" s="39">
      <c r="A36" s="2" t="n"/>
      <c r="B36" s="2" t="n"/>
      <c r="C36" s="2" t="n"/>
      <c r="D36" s="2" t="n"/>
      <c r="E36" s="2" t="n"/>
      <c r="F36" s="2" t="n"/>
      <c r="G36" s="2" t="n"/>
      <c r="H36" s="2" t="n"/>
    </row>
    <row r="37" ht="13.85" customHeight="1" s="39">
      <c r="A37" s="2" t="n"/>
      <c r="B37" s="2" t="n"/>
      <c r="C37" s="2" t="n"/>
      <c r="D37" s="2" t="n"/>
      <c r="E37" s="2" t="n"/>
      <c r="F37" s="2" t="n"/>
      <c r="G37" s="2" t="n"/>
      <c r="H37" s="2" t="n"/>
    </row>
    <row r="38" ht="28" customHeight="1" s="39">
      <c r="A38" s="10" t="inlineStr">
        <is>
          <t>Listing上架：单SKU5分，多SKU共用一张表8分</t>
        </is>
      </c>
      <c r="B38" s="2" t="n"/>
      <c r="C38" s="2" t="n"/>
      <c r="D38" s="2" t="n"/>
      <c r="E38" s="2" t="n"/>
      <c r="F38" s="2" t="n"/>
      <c r="G38" s="2" t="n"/>
      <c r="H38" s="2" t="n"/>
    </row>
    <row r="39" ht="25" customHeight="1" s="39">
      <c r="A39" s="11" t="inlineStr">
        <is>
          <t>统一基础分规则：每组1个SKU为5分；每组2个及以上SKU可共用一张上架表为8分。同一张表内不再按SKU数量增加分数。不同上架表分别建立任务组并计分。</t>
        </is>
      </c>
      <c r="B39" s="2" t="n"/>
      <c r="C39" s="2" t="n"/>
      <c r="D39" s="2" t="n"/>
      <c r="E39" s="2" t="n"/>
      <c r="F39" s="2" t="n"/>
      <c r="G39" s="2" t="n"/>
      <c r="H39" s="2" t="n"/>
    </row>
    <row r="40" ht="25" customHeight="1" s="39">
      <c r="A40" s="11" t="inlineStr">
        <is>
          <t>每组积分＝本组基础分×本组难度系数。系数按本次需处理关系的不同父体数判断：0个为1.0、1个为1.3、2个及以上为1.6；不是按OA条数或商品SKU数量判断。</t>
        </is>
      </c>
      <c r="B40" s="2" t="n"/>
      <c r="C40" s="2" t="n"/>
      <c r="D40" s="2" t="n"/>
      <c r="E40" s="2" t="n"/>
      <c r="F40" s="2" t="n"/>
      <c r="G40" s="2" t="n"/>
      <c r="H40" s="2" t="n"/>
    </row>
    <row r="41" ht="25" customHeight="1" s="39">
      <c r="A41" s="11" t="inlineStr">
        <is>
          <t>示例一、二展示2个和4个SKU共用一张表时均为8分；示例三、四复现2个JFMSV加入不同变体、5个JFPP组成一个新变体。黄色数量和系数可调整，分数自动计算。</t>
        </is>
      </c>
      <c r="B41" s="2" t="n"/>
      <c r="C41" s="2" t="n"/>
      <c r="D41" s="2" t="n"/>
      <c r="E41" s="2" t="n"/>
      <c r="F41" s="2" t="n"/>
      <c r="G41" s="2" t="n"/>
      <c r="H41" s="2" t="n"/>
    </row>
    <row r="42" ht="13.85" customHeight="1" s="39">
      <c r="A42" s="2" t="n"/>
      <c r="B42" s="2" t="n"/>
      <c r="C42" s="2" t="n"/>
      <c r="D42" s="2" t="n"/>
      <c r="E42" s="2" t="n"/>
      <c r="F42" s="2" t="n"/>
      <c r="G42" s="2" t="n"/>
      <c r="H42" s="2" t="n"/>
    </row>
    <row r="43" ht="32" customHeight="1" s="39">
      <c r="A43" s="6" t="inlineStr">
        <is>
          <t>示例</t>
        </is>
      </c>
      <c r="B43" s="6" t="inlineStr">
        <is>
          <t>上架表任务组</t>
        </is>
      </c>
      <c r="C43" s="6" t="inlineStr">
        <is>
          <t>本组SKU数</t>
        </is>
      </c>
      <c r="D43" s="6" t="inlineStr">
        <is>
          <t>本组基础分</t>
        </is>
      </c>
      <c r="E43" s="6" t="inlineStr">
        <is>
          <t>难度系数</t>
        </is>
      </c>
      <c r="F43" s="6" t="inlineStr">
        <is>
          <t>本组积分</t>
        </is>
      </c>
      <c r="G43" s="6" t="inlineStr">
        <is>
          <t>分组说明</t>
        </is>
      </c>
      <c r="H43" s="6" t="inlineStr">
        <is>
          <t>计分说明</t>
        </is>
      </c>
    </row>
    <row r="44" ht="84" customHeight="1" s="39">
      <c r="A44" s="7" t="inlineStr">
        <is>
          <t>一张表</t>
        </is>
      </c>
      <c r="B44" s="7" t="inlineStr">
        <is>
          <t>JFMSV</t>
        </is>
      </c>
      <c r="C44" s="15" t="n">
        <v>2</v>
      </c>
      <c r="D44" s="44">
        <f>IF(C44=1,5,8)</f>
        <v/>
      </c>
      <c r="E44" s="40" t="n">
        <v>1</v>
      </c>
      <c r="F44" s="44">
        <f>ROUND(D44*E44,1)</f>
        <v/>
      </c>
      <c r="G44" s="7">
        <f>C44&amp;"个JFMSV可以共用一张上架表。"</f>
        <v/>
      </c>
      <c r="H44" s="7" t="inlineStr">
        <is>
          <t>2个SKU共用一张表，基础分8分；更多SKU仍共用该表时，基础分不再递增。</t>
        </is>
      </c>
    </row>
    <row r="45" ht="84" customHeight="1" s="39">
      <c r="A45" s="7" t="inlineStr">
        <is>
          <t>一张表</t>
        </is>
      </c>
      <c r="B45" s="7" t="inlineStr">
        <is>
          <t>JFMSV</t>
        </is>
      </c>
      <c r="C45" s="15" t="n">
        <v>4</v>
      </c>
      <c r="D45" s="44">
        <f>IF(C45=1,5,8)</f>
        <v/>
      </c>
      <c r="E45" s="40" t="n">
        <v>1</v>
      </c>
      <c r="F45" s="44">
        <f>ROUND(D45*E45,1)</f>
        <v/>
      </c>
      <c r="G45" s="7">
        <f>C45&amp;"个JFMSV可以共用一张上架表。"</f>
        <v/>
      </c>
      <c r="H45" s="7" t="inlineStr">
        <is>
          <t>4个SKU共用一张表，基础分同样为8分。</t>
        </is>
      </c>
    </row>
    <row r="46" ht="84" customHeight="1" s="39">
      <c r="A46" s="7" t="inlineStr">
        <is>
          <t>两张表：第1组</t>
        </is>
      </c>
      <c r="B46" s="7" t="inlineStr">
        <is>
          <t>JFMSV</t>
        </is>
      </c>
      <c r="C46" s="15" t="n">
        <v>2</v>
      </c>
      <c r="D46" s="44">
        <f>IF(C46=1,5,8)</f>
        <v/>
      </c>
      <c r="E46" s="40" t="n">
        <v>1.6</v>
      </c>
      <c r="F46" s="44">
        <f>ROUND(D46*E46,1)</f>
        <v/>
      </c>
      <c r="G46" s="7">
        <f>"同次安排中的"&amp;C46&amp;"个JFMSV需要一张上架表。"</f>
        <v/>
      </c>
      <c r="H46" s="7" t="inlineStr">
        <is>
          <t>JFMSV00001、JFMSV00002分别加入两个不同的已有父体；本次涉及2个父体，系数1.6。</t>
        </is>
      </c>
    </row>
    <row r="47" ht="84" customHeight="1" s="39">
      <c r="A47" s="7" t="inlineStr">
        <is>
          <t>两张表：第2组</t>
        </is>
      </c>
      <c r="B47" s="7" t="inlineStr">
        <is>
          <t>JFPP</t>
        </is>
      </c>
      <c r="C47" s="15" t="n">
        <v>5</v>
      </c>
      <c r="D47" s="44">
        <f>IF(C47=1,5,8)</f>
        <v/>
      </c>
      <c r="E47" s="40" t="n">
        <v>1.3</v>
      </c>
      <c r="F47" s="44">
        <f>ROUND(D47*E47,1)</f>
        <v/>
      </c>
      <c r="G47" s="7">
        <f>"同次安排中的"&amp;C47&amp;"个JFPP需要另一张上架表。"</f>
        <v/>
      </c>
      <c r="H47" s="7" t="inlineStr">
        <is>
          <t>JFPP00001—00005共同组成一个新父体下的变体组；本次涉及1个父体，系数1.3。父体不另计商品SKU。</t>
        </is>
      </c>
    </row>
    <row r="48" ht="13.85" customHeight="1" s="39">
      <c r="A48" s="2" t="n"/>
      <c r="B48" s="2" t="n"/>
      <c r="C48" s="2" t="n"/>
      <c r="D48" s="2" t="n"/>
      <c r="E48" s="2" t="n"/>
      <c r="F48" s="2" t="n"/>
      <c r="G48" s="2" t="n"/>
      <c r="H48" s="2" t="n"/>
    </row>
    <row r="49" ht="60" customHeight="1" s="39">
      <c r="A49" s="2" t="n"/>
      <c r="B49" s="10" t="inlineStr">
        <is>
          <t>两张表本次安排合计</t>
        </is>
      </c>
      <c r="C49" s="10" t="n"/>
      <c r="D49" s="10" t="n"/>
      <c r="E49" s="10" t="n"/>
      <c r="F49" s="45">
        <f>SUM(F46:F47)</f>
        <v/>
      </c>
      <c r="G49" s="10">
        <f>C46&amp;"个JFMSV＋"&amp;C47&amp;"个JFPP"</f>
        <v/>
      </c>
      <c r="H49" s="10" t="inlineStr">
        <is>
          <t>按当前案例，两组分别为12.8分和10.4分，总分23.2分。不同表分组计分，同一表不按数量递增。</t>
        </is>
      </c>
    </row>
    <row r="50" ht="13.85" customHeight="1" s="39">
      <c r="A50" s="2" t="n"/>
      <c r="B50" s="2" t="n"/>
      <c r="C50" s="2" t="n"/>
      <c r="D50" s="2" t="n"/>
      <c r="E50" s="2" t="n"/>
      <c r="F50" s="2" t="n"/>
      <c r="G50" s="2" t="n"/>
      <c r="H50" s="2" t="n"/>
    </row>
    <row r="51" ht="13.85" customHeight="1" s="39">
      <c r="A51" s="2" t="n"/>
      <c r="B51" s="2" t="n"/>
      <c r="C51" s="2" t="n"/>
      <c r="D51" s="2" t="n"/>
      <c r="E51" s="2" t="n"/>
      <c r="F51" s="2" t="n"/>
      <c r="G51" s="2" t="n"/>
      <c r="H51" s="2" t="n"/>
    </row>
    <row r="52" ht="28" customHeight="1" s="39">
      <c r="A52" s="10" t="inlineStr">
        <is>
          <t>OA记录如何关联上架执行组：7条SKU示例</t>
        </is>
      </c>
      <c r="B52" s="2" t="n"/>
      <c r="C52" s="2" t="n"/>
      <c r="D52" s="2" t="n"/>
      <c r="E52" s="2" t="n"/>
      <c r="F52" s="2" t="n"/>
      <c r="G52" s="2" t="n"/>
      <c r="H52" s="2" t="n"/>
    </row>
    <row r="53" ht="25" customHeight="1" s="39">
      <c r="A53" s="11" t="inlineStr">
        <is>
          <t>组定义：同一次上架安排中，由同一人执行、同一站点、能够共用一张上架表的SKU集合。先确认执行组，再按父体数选择难度，不能把“一条OA”直接当成“一组”。</t>
        </is>
      </c>
      <c r="B53" s="2" t="n"/>
      <c r="C53" s="2" t="n"/>
      <c r="D53" s="2" t="n"/>
      <c r="E53" s="2" t="n"/>
      <c r="F53" s="2" t="n"/>
      <c r="G53" s="2" t="n"/>
      <c r="H53" s="2" t="n"/>
    </row>
    <row r="54" ht="25" customHeight="1" s="39">
      <c r="A54" s="11" t="inlineStr">
        <is>
          <t>记录方式：每条OA补充上架执行组编号。OA暂不能增加字段时，可在备注或考核台账中记录；组编号、实际OA编号、SKU、目标父体及验收结果应能相互追溯。</t>
        </is>
      </c>
      <c r="B54" s="2" t="n"/>
      <c r="C54" s="2" t="n"/>
      <c r="D54" s="2" t="n"/>
      <c r="E54" s="2" t="n"/>
      <c r="F54" s="2" t="n"/>
      <c r="G54" s="2" t="n"/>
      <c r="H54" s="2" t="n"/>
    </row>
    <row r="55" ht="25" customHeight="1" s="39">
      <c r="A55" s="11" t="inlineStr">
        <is>
          <t>以下上架组001、上架组002为示例编号；已有父体A、已有父体B、新父体C均为示意名称，执行时替换为实际父体标识。实际OA编号未提供，黄色位置保留待填。</t>
        </is>
      </c>
      <c r="B55" s="2" t="n"/>
      <c r="C55" s="2" t="n"/>
      <c r="D55" s="2" t="n"/>
      <c r="E55" s="2" t="n"/>
      <c r="F55" s="2" t="n"/>
      <c r="G55" s="2" t="n"/>
      <c r="H55" s="2" t="n"/>
    </row>
    <row r="56" ht="25" customHeight="1" s="39">
      <c r="A56" s="11" t="inlineStr">
        <is>
          <t>本例固定为2个JFMSV加入不同已有父体、5个JFPP组成1个新父体；分摊分引用上方案例。实际分组改变后，应重新确认组范围和父体数，再在台账结算。</t>
        </is>
      </c>
      <c r="B56" s="2" t="n"/>
      <c r="C56" s="2" t="n"/>
      <c r="D56" s="2" t="n"/>
      <c r="E56" s="2" t="n"/>
      <c r="F56" s="2" t="n"/>
      <c r="G56" s="2" t="n"/>
      <c r="H56" s="2" t="n"/>
    </row>
    <row r="57" ht="13.85" customHeight="1" s="39">
      <c r="A57" s="2" t="n"/>
      <c r="B57" s="2" t="n"/>
      <c r="C57" s="2" t="n"/>
      <c r="D57" s="2" t="n"/>
      <c r="E57" s="2" t="n"/>
      <c r="F57" s="2" t="n"/>
      <c r="G57" s="2" t="n"/>
      <c r="H57" s="2" t="n"/>
    </row>
    <row r="58" ht="42" customHeight="1" s="39">
      <c r="A58" s="6" t="inlineStr">
        <is>
          <t>上架组编号</t>
        </is>
      </c>
      <c r="B58" s="6" t="inlineStr">
        <is>
          <t>商品SKU</t>
        </is>
      </c>
      <c r="C58" s="6" t="inlineStr">
        <is>
          <t>OA记录编号</t>
        </is>
      </c>
      <c r="D58" s="6" t="inlineStr">
        <is>
          <t>目标父体</t>
        </is>
      </c>
      <c r="E58" s="6" t="inlineStr">
        <is>
          <t>本组父体数</t>
        </is>
      </c>
      <c r="F58" s="6" t="inlineStr">
        <is>
          <t>难度系数</t>
        </is>
      </c>
      <c r="G58" s="6" t="inlineStr">
        <is>
          <t>本条OA分摊分</t>
        </is>
      </c>
      <c r="H58" s="6" t="inlineStr">
        <is>
          <t>判断依据</t>
        </is>
      </c>
    </row>
    <row r="59" ht="70" customHeight="1" s="39">
      <c r="A59" s="7" t="inlineStr">
        <is>
          <t>上架组001</t>
        </is>
      </c>
      <c r="B59" s="7" t="inlineStr">
        <is>
          <t>JFMSV00001</t>
        </is>
      </c>
      <c r="C59" s="17" t="inlineStr">
        <is>
          <t>待填</t>
        </is>
      </c>
      <c r="D59" s="7" t="inlineStr">
        <is>
          <t>已有父体A</t>
        </is>
      </c>
      <c r="E59" s="13" t="n">
        <v>2</v>
      </c>
      <c r="F59" s="44">
        <f>E46</f>
        <v/>
      </c>
      <c r="G59" s="14">
        <f>ROUND(F46/C46,2)</f>
        <v/>
      </c>
      <c r="H59" s="7" t="inlineStr">
        <is>
          <t>同组两条OA分别关联不同已有父体，本组共涉及2个父体。</t>
        </is>
      </c>
    </row>
    <row r="60" ht="70" customHeight="1" s="39">
      <c r="A60" s="7" t="inlineStr">
        <is>
          <t>上架组001</t>
        </is>
      </c>
      <c r="B60" s="7" t="inlineStr">
        <is>
          <t>JFMSV00002</t>
        </is>
      </c>
      <c r="C60" s="17" t="inlineStr">
        <is>
          <t>待填</t>
        </is>
      </c>
      <c r="D60" s="7" t="inlineStr">
        <is>
          <t>已有父体B</t>
        </is>
      </c>
      <c r="E60" s="13" t="n">
        <v>2</v>
      </c>
      <c r="F60" s="44">
        <f>E46</f>
        <v/>
      </c>
      <c r="G60" s="14">
        <f>ROUND(F46/C46,2)</f>
        <v/>
      </c>
      <c r="H60" s="7" t="inlineStr">
        <is>
          <t>与上一条共用一张上架表；目标父体不同，本组系数1.6。</t>
        </is>
      </c>
    </row>
    <row r="61" ht="70" customHeight="1" s="39">
      <c r="A61" s="7" t="inlineStr">
        <is>
          <t>上架组002</t>
        </is>
      </c>
      <c r="B61" s="7" t="inlineStr">
        <is>
          <t>JFPP00001</t>
        </is>
      </c>
      <c r="C61" s="17" t="inlineStr">
        <is>
          <t>待填</t>
        </is>
      </c>
      <c r="D61" s="7" t="inlineStr">
        <is>
          <t>新父体C</t>
        </is>
      </c>
      <c r="E61" s="13" t="n">
        <v>1</v>
      </c>
      <c r="F61" s="44">
        <f>E47</f>
        <v/>
      </c>
      <c r="G61" s="14">
        <f>ROUND(F47/C47,2)</f>
        <v/>
      </c>
      <c r="H61" s="7" t="inlineStr">
        <is>
          <t>5条OA共同关联同一个新父体，本组父体数为1，系数1.3。</t>
        </is>
      </c>
    </row>
    <row r="62" ht="70" customHeight="1" s="39">
      <c r="A62" s="7" t="inlineStr">
        <is>
          <t>上架组002</t>
        </is>
      </c>
      <c r="B62" s="7" t="inlineStr">
        <is>
          <t>JFPP00002</t>
        </is>
      </c>
      <c r="C62" s="17" t="inlineStr">
        <is>
          <t>待填</t>
        </is>
      </c>
      <c r="D62" s="7" t="inlineStr">
        <is>
          <t>新父体C</t>
        </is>
      </c>
      <c r="E62" s="13" t="n">
        <v>1</v>
      </c>
      <c r="F62" s="44">
        <f>E47</f>
        <v/>
      </c>
      <c r="G62" s="14">
        <f>ROUND(F47/C47,2)</f>
        <v/>
      </c>
      <c r="H62" s="7" t="inlineStr">
        <is>
          <t>5条OA共同关联同一个新父体，本组父体数为1，系数1.3。</t>
        </is>
      </c>
    </row>
    <row r="63" ht="70" customHeight="1" s="39">
      <c r="A63" s="7" t="inlineStr">
        <is>
          <t>上架组002</t>
        </is>
      </c>
      <c r="B63" s="7" t="inlineStr">
        <is>
          <t>JFPP00003</t>
        </is>
      </c>
      <c r="C63" s="17" t="inlineStr">
        <is>
          <t>待填</t>
        </is>
      </c>
      <c r="D63" s="7" t="inlineStr">
        <is>
          <t>新父体C</t>
        </is>
      </c>
      <c r="E63" s="13" t="n">
        <v>1</v>
      </c>
      <c r="F63" s="44">
        <f>E47</f>
        <v/>
      </c>
      <c r="G63" s="14">
        <f>ROUND(F47/C47,2)</f>
        <v/>
      </c>
      <c r="H63" s="7" t="inlineStr">
        <is>
          <t>5条OA共同关联同一个新父体，本组父体数为1，系数1.3。</t>
        </is>
      </c>
    </row>
    <row r="64" ht="70" customHeight="1" s="39">
      <c r="A64" s="7" t="inlineStr">
        <is>
          <t>上架组002</t>
        </is>
      </c>
      <c r="B64" s="7" t="inlineStr">
        <is>
          <t>JFPP00004</t>
        </is>
      </c>
      <c r="C64" s="17" t="inlineStr">
        <is>
          <t>待填</t>
        </is>
      </c>
      <c r="D64" s="7" t="inlineStr">
        <is>
          <t>新父体C</t>
        </is>
      </c>
      <c r="E64" s="13" t="n">
        <v>1</v>
      </c>
      <c r="F64" s="44">
        <f>E47</f>
        <v/>
      </c>
      <c r="G64" s="14">
        <f>ROUND(F47/C47,2)</f>
        <v/>
      </c>
      <c r="H64" s="7" t="inlineStr">
        <is>
          <t>5条OA共同关联同一个新父体，本组父体数为1，系数1.3。</t>
        </is>
      </c>
    </row>
    <row r="65" ht="70" customHeight="1" s="39">
      <c r="A65" s="7" t="inlineStr">
        <is>
          <t>上架组002</t>
        </is>
      </c>
      <c r="B65" s="7" t="inlineStr">
        <is>
          <t>JFPP00005</t>
        </is>
      </c>
      <c r="C65" s="17" t="inlineStr">
        <is>
          <t>待填</t>
        </is>
      </c>
      <c r="D65" s="7" t="inlineStr">
        <is>
          <t>新父体C</t>
        </is>
      </c>
      <c r="E65" s="13" t="n">
        <v>1</v>
      </c>
      <c r="F65" s="44">
        <f>E47</f>
        <v/>
      </c>
      <c r="G65" s="14">
        <f>ROUND(F47/C47,2)</f>
        <v/>
      </c>
      <c r="H65" s="7" t="inlineStr">
        <is>
          <t>5条OA共同关联同一个新父体，本组父体数为1，系数1.3。</t>
        </is>
      </c>
    </row>
    <row r="66" ht="13.85" customHeight="1" s="39">
      <c r="A66" s="2" t="n"/>
      <c r="B66" s="2" t="n"/>
      <c r="C66" s="2" t="n"/>
      <c r="D66" s="2" t="n"/>
      <c r="E66" s="2" t="n"/>
      <c r="F66" s="2" t="n"/>
      <c r="G66" s="2" t="n"/>
      <c r="H66" s="2" t="n"/>
    </row>
    <row r="67" ht="48" customHeight="1" s="39">
      <c r="A67" s="2" t="n"/>
      <c r="B67" s="10" t="inlineStr">
        <is>
          <t>7条OA分摊合计</t>
        </is>
      </c>
      <c r="C67" s="10" t="n"/>
      <c r="D67" s="10" t="n"/>
      <c r="E67" s="10" t="n"/>
      <c r="F67" s="10" t="n"/>
      <c r="G67" s="18">
        <f>SUM(G59:G65)</f>
        <v/>
      </c>
      <c r="H67" s="10" t="inlineStr">
        <is>
          <t>应等于上方两组总分23.2分；组总分和明细分不能重复累计。</t>
        </is>
      </c>
    </row>
    <row r="68" ht="13.85" customHeight="1" s="39">
      <c r="A68" s="2" t="n"/>
      <c r="B68" s="2" t="n"/>
      <c r="C68" s="2" t="n"/>
      <c r="D68" s="2" t="n"/>
      <c r="E68" s="2" t="n"/>
      <c r="F68" s="2" t="n"/>
      <c r="G68" s="2" t="n"/>
      <c r="H68" s="2" t="n"/>
    </row>
    <row r="69" ht="13.85" customHeight="1" s="39">
      <c r="A69" s="2" t="n"/>
      <c r="B69" s="2" t="n"/>
      <c r="C69" s="2" t="n"/>
      <c r="D69" s="2" t="n"/>
      <c r="E69" s="2" t="n"/>
      <c r="F69" s="2" t="n"/>
      <c r="G69" s="2" t="n"/>
      <c r="H69" s="2" t="n"/>
    </row>
    <row r="70" ht="13.85" customHeight="1" s="39">
      <c r="A70" s="2" t="inlineStr">
        <is>
          <t>补充案例：图片、A+、视频、纠错及内容优化</t>
        </is>
      </c>
    </row>
    <row r="71" ht="14.65" customHeight="1" s="39">
      <c r="A71" s="19" t="inlineStr">
        <is>
          <t>工作项目</t>
        </is>
      </c>
      <c r="B71" s="19" t="inlineStr">
        <is>
          <t>实际场景</t>
        </is>
      </c>
      <c r="C71" s="19" t="inlineStr">
        <is>
          <t>累计基础分</t>
        </is>
      </c>
      <c r="D71" s="19" t="inlineStr">
        <is>
          <t>难度系数</t>
        </is>
      </c>
      <c r="E71" s="19" t="inlineStr">
        <is>
          <t>任务积分</t>
        </is>
      </c>
      <c r="F71" s="19" t="inlineStr">
        <is>
          <t>计算依据</t>
        </is>
      </c>
      <c r="G71" s="19" t="inlineStr">
        <is>
          <t>结算说明</t>
        </is>
      </c>
      <c r="H71" s="19" t="inlineStr">
        <is>
          <t>备注</t>
        </is>
      </c>
    </row>
    <row r="72" ht="95" customHeight="1" s="39">
      <c r="A72" s="2" t="inlineStr">
        <is>
          <t>图片上传</t>
        </is>
      </c>
      <c r="B72" s="2" t="inlineStr">
        <is>
          <t>5个SKU均需向产品负责人取图</t>
        </is>
      </c>
      <c r="C72" s="2" t="n">
        <v>10</v>
      </c>
      <c r="D72" s="2" t="n">
        <v>1.3</v>
      </c>
      <c r="E72" s="2">
        <f>ROUND(C72*D72,1)</f>
        <v/>
      </c>
      <c r="F72" s="2" t="inlineStr">
        <is>
          <t>每SKU2分，取图系数1.3</t>
        </is>
      </c>
      <c r="G72" s="2" t="inlineStr">
        <is>
          <t>等待时间不额外加分。</t>
        </is>
      </c>
      <c r="H72" s="2" t="inlineStr"/>
    </row>
    <row r="73" ht="95" customHeight="1" s="39">
      <c r="A73" s="2" t="inlineStr">
        <is>
          <t>样品协调＋图片</t>
        </is>
      </c>
      <c r="B73" s="2" t="inlineStr">
        <is>
          <t>10个不同SKU共用一次备货及拍摄协调安排</t>
        </is>
      </c>
      <c r="C73" s="2" t="n">
        <v>25</v>
      </c>
      <c r="D73" s="2" t="n">
        <v>1</v>
      </c>
      <c r="E73" s="2">
        <f>ROUND(C73*D73,1)</f>
        <v/>
      </c>
      <c r="F73" s="2" t="inlineStr">
        <is>
          <t>完整任务5分＋上传10×2分＝25分</t>
        </is>
      </c>
      <c r="G73" s="2" t="inlineStr">
        <is>
          <t>协调工作只计一次，不再用图片取图系数。</t>
        </is>
      </c>
      <c r="H73" s="2" t="inlineStr"/>
    </row>
    <row r="74" ht="95" customHeight="1" s="39">
      <c r="A74" s="2" t="inlineStr">
        <is>
          <t>A+绑定</t>
        </is>
      </c>
      <c r="B74" s="2" t="inlineStr">
        <is>
          <t>1个SKU加入已有A+</t>
        </is>
      </c>
      <c r="C74" s="2" t="n">
        <v>1</v>
      </c>
      <c r="D74" s="2" t="n">
        <v>1</v>
      </c>
      <c r="E74" s="2">
        <f>ROUND(C74*D74,1)</f>
        <v/>
      </c>
      <c r="F74" s="2" t="inlineStr">
        <is>
          <t>1×1分</t>
        </is>
      </c>
      <c r="G74" s="2" t="inlineStr">
        <is>
          <t>固定系数1。</t>
        </is>
      </c>
      <c r="H74" s="2" t="inlineStr"/>
    </row>
    <row r="75" ht="95" customHeight="1" s="39">
      <c r="A75" s="2" t="inlineStr">
        <is>
          <t>A+绑定</t>
        </is>
      </c>
      <c r="B75" s="2" t="inlineStr">
        <is>
          <t>5个SKU加入5份已有A+</t>
        </is>
      </c>
      <c r="C75" s="2" t="n">
        <v>5</v>
      </c>
      <c r="D75" s="2" t="n">
        <v>1</v>
      </c>
      <c r="E75" s="2">
        <f>ROUND(C75*D75,1)</f>
        <v/>
      </c>
      <c r="F75" s="2" t="inlineStr">
        <is>
          <t>5×1分</t>
        </is>
      </c>
      <c r="G75" s="2" t="inlineStr">
        <is>
          <t>不同已有A+仍按SKU计。</t>
        </is>
      </c>
      <c r="H75" s="2" t="inlineStr"/>
    </row>
    <row r="76" ht="95" customHeight="1" s="39">
      <c r="A76" s="2" t="inlineStr">
        <is>
          <t>A+新建</t>
        </is>
      </c>
      <c r="B76" s="2" t="inlineStr">
        <is>
          <t>3份不同新A+</t>
        </is>
      </c>
      <c r="C76" s="2" t="n">
        <v>30</v>
      </c>
      <c r="D76" s="2" t="n">
        <v>1</v>
      </c>
      <c r="E76" s="2">
        <f>ROUND(C76*D76,1)</f>
        <v/>
      </c>
      <c r="F76" s="2" t="inlineStr">
        <is>
          <t>3×10分</t>
        </is>
      </c>
      <c r="G76" s="2" t="inlineStr">
        <is>
          <t>按实际独立内容份数。</t>
        </is>
      </c>
      <c r="H76" s="2" t="inlineStr"/>
    </row>
    <row r="77" ht="95" customHeight="1" s="39">
      <c r="A77" s="2" t="inlineStr">
        <is>
          <t>A+混合</t>
        </is>
      </c>
      <c r="B77" s="2" t="inlineStr">
        <is>
          <t>新建1份，同时另有2个SKU加入其他已有A+</t>
        </is>
      </c>
      <c r="C77" s="2" t="n">
        <v>12</v>
      </c>
      <c r="D77" s="2" t="n">
        <v>1</v>
      </c>
      <c r="E77" s="2">
        <f>ROUND(C77*D77,1)</f>
        <v/>
      </c>
      <c r="F77" s="2" t="inlineStr">
        <is>
          <t>10＋2×1＝12分</t>
        </is>
      </c>
      <c r="G77" s="2" t="inlineStr">
        <is>
          <t>新建的首次绑定已包含；2分是另外的已有内容绑定。</t>
        </is>
      </c>
      <c r="H77" s="2" t="inlineStr"/>
    </row>
    <row r="78" ht="95" customHeight="1" s="39">
      <c r="A78" s="2" t="inlineStr">
        <is>
          <t>视频绑定</t>
        </is>
      </c>
      <c r="B78" s="2" t="inlineStr">
        <is>
          <t>5个SKU加入5个已有视频</t>
        </is>
      </c>
      <c r="C78" s="2" t="n">
        <v>5</v>
      </c>
      <c r="D78" s="2" t="n">
        <v>1</v>
      </c>
      <c r="E78" s="2">
        <f>ROUND(C78*D78,1)</f>
        <v/>
      </c>
      <c r="F78" s="2" t="inlineStr">
        <is>
          <t>每个视频绑定1个SKU，各1分</t>
        </is>
      </c>
      <c r="G78" s="2" t="inlineStr">
        <is>
          <t>同一批按目标视频分别计算。</t>
        </is>
      </c>
      <c r="H78" s="2" t="inlineStr"/>
    </row>
    <row r="79" ht="95" customHeight="1" s="39">
      <c r="A79" s="2" t="inlineStr">
        <is>
          <t>Listing纠错</t>
        </is>
      </c>
      <c r="B79" s="2" t="inlineStr">
        <is>
          <t>同一电压错误出现于多个内容位置</t>
        </is>
      </c>
      <c r="C79" s="2" t="n">
        <v>2</v>
      </c>
      <c r="D79" s="2" t="n">
        <v>1</v>
      </c>
      <c r="E79" s="2">
        <f>ROUND(C79*D79,1)</f>
        <v/>
      </c>
      <c r="F79" s="2" t="inlineStr">
        <is>
          <t>1个独立错误点×2分</t>
        </is>
      </c>
      <c r="G79" s="2" t="inlineStr">
        <is>
          <t>必须检查全部指定模块并修正同源错误。</t>
        </is>
      </c>
      <c r="H79" s="2" t="inlineStr"/>
    </row>
    <row r="80" ht="95" customHeight="1" s="39">
      <c r="A80" s="2" t="inlineStr">
        <is>
          <t>Listing纠错</t>
        </is>
      </c>
      <c r="B80" s="2" t="inlineStr">
        <is>
          <t>电压、尺寸、材质3个独立错误</t>
        </is>
      </c>
      <c r="C80" s="2" t="n">
        <v>6</v>
      </c>
      <c r="D80" s="2" t="n">
        <v>1</v>
      </c>
      <c r="E80" s="2">
        <f>ROUND(C80*D80,1)</f>
        <v/>
      </c>
      <c r="F80" s="2" t="inlineStr">
        <is>
          <t>3×2＝6分</t>
        </is>
      </c>
      <c r="G80" s="2" t="inlineStr">
        <is>
          <t>修复自身操作错误不另加分。</t>
        </is>
      </c>
      <c r="H80" s="2" t="inlineStr"/>
    </row>
    <row r="81" ht="95" customHeight="1" s="39">
      <c r="A81" s="2" t="inlineStr">
        <is>
          <t>五点优化</t>
        </is>
      </c>
      <c r="B81" s="2" t="inlineStr">
        <is>
          <t>重写1点或重写全部五点</t>
        </is>
      </c>
      <c r="C81" s="2" t="n">
        <v>3</v>
      </c>
      <c r="D81" s="2" t="n">
        <v>1</v>
      </c>
      <c r="E81" s="2">
        <f>ROUND(C81*D81,1)</f>
        <v/>
      </c>
      <c r="F81" s="2" t="inlineStr">
        <is>
          <t>每轮每套3分</t>
        </is>
      </c>
      <c r="G81" s="2" t="inlineStr">
        <is>
          <t>复盘前追加修改并入原任务。</t>
        </is>
      </c>
      <c r="H81" s="2" t="inlineStr"/>
    </row>
    <row r="82" ht="95" customHeight="1" s="39">
      <c r="A82" s="2" t="inlineStr">
        <is>
          <t>描述优化</t>
        </is>
      </c>
      <c r="B82" s="2" t="inlineStr">
        <is>
          <t>重写一份描述</t>
        </is>
      </c>
      <c r="C82" s="2" t="n">
        <v>3</v>
      </c>
      <c r="D82" s="2" t="n">
        <v>1</v>
      </c>
      <c r="E82" s="2">
        <f>ROUND(C82*D82,1)</f>
        <v/>
      </c>
      <c r="F82" s="2" t="inlineStr">
        <is>
          <t>每份3分</t>
        </is>
      </c>
      <c r="G82" s="2" t="inlineStr">
        <is>
          <t>完成内容验收及复盘后结算。</t>
        </is>
      </c>
      <c r="H82" s="2" t="inlineStr"/>
    </row>
    <row r="83" ht="95" customHeight="1" s="39">
      <c r="A83" s="2" t="inlineStr">
        <is>
          <t>综合优化</t>
        </is>
      </c>
      <c r="B83" s="2" t="inlineStr">
        <is>
          <t>同一Listing重写标题、五点、描述、关键词并完全重做1份A+</t>
        </is>
      </c>
      <c r="C83" s="2" t="n">
        <v>20</v>
      </c>
      <c r="D83" s="2" t="n">
        <v>1</v>
      </c>
      <c r="E83" s="2">
        <f>ROUND(C83*D83,1)</f>
        <v/>
      </c>
      <c r="F83" s="2" t="inlineStr">
        <is>
          <t>2＋3＋3＋2＋10＝20分</t>
        </is>
      </c>
      <c r="G83" s="2" t="inlineStr">
        <is>
          <t>同一方案合并登记和复盘；不得再领取A+制作发布10分。</t>
        </is>
      </c>
      <c r="H83" s="2" t="inlineStr"/>
    </row>
    <row r="84" ht="95" customHeight="1" s="39">
      <c r="A84" s="2" t="inlineStr">
        <is>
          <t>A+部分优化</t>
        </is>
      </c>
      <c r="B84" s="2" t="inlineStr">
        <is>
          <t>同一份A+实质修改3个模块</t>
        </is>
      </c>
      <c r="C84" s="2" t="n">
        <v>6</v>
      </c>
      <c r="D84" s="2" t="n">
        <v>1</v>
      </c>
      <c r="E84" s="2">
        <f>ROUND(C84*D84,1)</f>
        <v/>
      </c>
      <c r="F84" s="2" t="inlineStr">
        <is>
          <t>3×2＝6分</t>
        </is>
      </c>
      <c r="G84" s="2" t="inlineStr">
        <is>
          <t>同一份同一轮最高10分。</t>
        </is>
      </c>
      <c r="H84" s="2" t="inlineStr"/>
    </row>
    <row r="87" ht="30" customHeight="1" s="39">
      <c r="A87" s="0" t="inlineStr">
        <is>
          <t>变体关系维护：基础分与难度系数分别选择</t>
        </is>
      </c>
    </row>
    <row r="88" ht="34" customHeight="1" s="39">
      <c r="A88" s="0" t="inlineStr">
        <is>
          <t>工作项目</t>
        </is>
      </c>
      <c r="B88" s="0" t="inlineStr">
        <is>
          <t>实际场景</t>
        </is>
      </c>
      <c r="C88" s="0" t="inlineStr">
        <is>
          <t>累计基础分</t>
        </is>
      </c>
      <c r="D88" s="0" t="inlineStr">
        <is>
          <t>难度系数</t>
        </is>
      </c>
      <c r="E88" s="0" t="inlineStr">
        <is>
          <t>任务积分</t>
        </is>
      </c>
      <c r="F88" s="0" t="inlineStr">
        <is>
          <t>计算依据</t>
        </is>
      </c>
      <c r="G88" s="0" t="inlineStr">
        <is>
          <t>结算说明</t>
        </is>
      </c>
      <c r="H88" s="0" t="inlineStr">
        <is>
          <t>备注</t>
        </is>
      </c>
    </row>
    <row r="89" ht="105" customHeight="1" s="39">
      <c r="A89" s="0" t="inlineStr">
        <is>
          <t>变体关系维护</t>
        </is>
      </c>
      <c r="B89" s="0" t="inlineStr">
        <is>
          <t>原变体异常，需要排查后重新组合</t>
        </is>
      </c>
      <c r="C89" s="20" t="n">
        <v>8</v>
      </c>
      <c r="D89" s="20" t="n">
        <v>1.3</v>
      </c>
      <c r="E89" s="46">
        <f>ROUND(C89*D89,1)</f>
        <v/>
      </c>
      <c r="F89" s="0" t="inlineStr">
        <is>
          <t>解除原关系并重建：8分</t>
        </is>
      </c>
      <c r="G89" s="0" t="inlineStr">
        <is>
          <t>需排查确认原因：1.3</t>
        </is>
      </c>
      <c r="H89" s="0" t="inlineStr">
        <is>
          <t>8×1.3＝10.4分</t>
        </is>
      </c>
    </row>
    <row r="90" ht="105" customHeight="1" s="39">
      <c r="A90" s="0" t="inlineStr">
        <is>
          <t>变体关系维护</t>
        </is>
      </c>
      <c r="B90" s="0" t="inlineStr">
        <is>
          <t>某个ASIN有问题，拆开重组；原因及方案明确</t>
        </is>
      </c>
      <c r="C90" s="20" t="n">
        <v>8</v>
      </c>
      <c r="D90" s="20" t="n">
        <v>1</v>
      </c>
      <c r="E90" s="46">
        <f>ROUND(C90*D90,1)</f>
        <v/>
      </c>
      <c r="F90" s="0" t="inlineStr">
        <is>
          <t>解除原关系并重建：8分</t>
        </is>
      </c>
      <c r="G90" s="0" t="inlineStr">
        <is>
          <t>直接按明确方案执行：1.0</t>
        </is>
      </c>
      <c r="H90" s="0" t="inlineStr">
        <is>
          <t>若需另行排查，系数1.3，计10.4分。</t>
        </is>
      </c>
    </row>
    <row r="91" ht="105" customHeight="1" s="39">
      <c r="A91" s="0" t="inlineStr">
        <is>
          <t>变体关系维护</t>
        </is>
      </c>
      <c r="B91" s="0" t="inlineStr">
        <is>
          <t>已上架的独立SKU加入已有变体</t>
        </is>
      </c>
      <c r="C91" s="20" t="n">
        <v>5</v>
      </c>
      <c r="D91" s="20" t="n">
        <v>1</v>
      </c>
      <c r="E91" s="46">
        <f>ROUND(C91*D91,1)</f>
        <v/>
      </c>
      <c r="F91" s="0" t="inlineStr">
        <is>
          <t>不解除旧关系，加入已有变体：5分</t>
        </is>
      </c>
      <c r="G91" s="0" t="inlineStr">
        <is>
          <t>直接执行：1.0</t>
        </is>
      </c>
      <c r="H91" s="0" t="inlineStr">
        <is>
          <t>若SKU原本属于其他父体、需解绑迁移，基础分改为8分。</t>
        </is>
      </c>
    </row>
    <row r="92" ht="105" customHeight="1" s="39">
      <c r="A92" s="0" t="inlineStr">
        <is>
          <t>变体关系维护</t>
        </is>
      </c>
      <c r="B92" s="0" t="inlineStr">
        <is>
          <t>选项名称有误，仅修改名称即可</t>
        </is>
      </c>
      <c r="C92" s="20" t="n">
        <v>3</v>
      </c>
      <c r="D92" s="20" t="n">
        <v>1</v>
      </c>
      <c r="E92" s="46">
        <f>ROUND(C92*D92,1)</f>
        <v/>
      </c>
      <c r="F92" s="0" t="inlineStr">
        <is>
          <t>仅修正名称或属性值：3分</t>
        </is>
      </c>
      <c r="G92" s="0" t="inlineStr">
        <is>
          <t>原因及方案明确：1.0</t>
        </is>
      </c>
      <c r="H92" s="0" t="inlineStr">
        <is>
          <t>不需要解除或重建关系。</t>
        </is>
      </c>
    </row>
    <row r="93" ht="105" customHeight="1" s="39">
      <c r="A93" s="0" t="inlineStr">
        <is>
          <t>变体关系维护</t>
        </is>
      </c>
      <c r="B93" s="0" t="inlineStr">
        <is>
          <t>选项名称有误，必须拆开重建；方案明确</t>
        </is>
      </c>
      <c r="C93" s="20" t="n">
        <v>8</v>
      </c>
      <c r="D93" s="20" t="n">
        <v>1</v>
      </c>
      <c r="E93" s="46">
        <f>ROUND(C93*D93,1)</f>
        <v/>
      </c>
      <c r="F93" s="0" t="inlineStr">
        <is>
          <t>解除并重建关系：8分</t>
        </is>
      </c>
      <c r="G93" s="0" t="inlineStr">
        <is>
          <t>直接按明确方案执行：1.0</t>
        </is>
      </c>
      <c r="H93" s="0" t="inlineStr">
        <is>
          <t>不再叠加名称修改3分。</t>
        </is>
      </c>
    </row>
    <row r="94" ht="105" customHeight="1" s="39">
      <c r="A94" s="0" t="inlineStr">
        <is>
          <t>变体关系维护</t>
        </is>
      </c>
      <c r="B94" s="0" t="inlineStr">
        <is>
          <t>原来独立的已上架商品，现在组成一个新变体</t>
        </is>
      </c>
      <c r="C94" s="20" t="n">
        <v>8</v>
      </c>
      <c r="D94" s="20" t="n">
        <v>1</v>
      </c>
      <c r="E94" s="46">
        <f>ROUND(C94*D94,1)</f>
        <v/>
      </c>
      <c r="F94" s="0" t="inlineStr">
        <is>
          <t>建立新变体：8分</t>
        </is>
      </c>
      <c r="G94" s="0" t="inlineStr">
        <is>
          <t>资料齐全、方案明确：1.0</t>
        </is>
      </c>
      <c r="H94" s="0" t="inlineStr">
        <is>
          <t>多个SKU共同组成同一变体，只计一个方案。</t>
        </is>
      </c>
    </row>
    <row r="95" ht="105" customHeight="1" s="39">
      <c r="A95" s="0" t="inlineStr">
        <is>
          <t>变体关系维护</t>
        </is>
      </c>
      <c r="B95" s="0" t="inlineStr">
        <is>
          <t>排查异常后，在两个及以上父体之间拆分、迁移或重建</t>
        </is>
      </c>
      <c r="C95" s="20" t="n">
        <v>8</v>
      </c>
      <c r="D95" s="20" t="n">
        <v>1.6</v>
      </c>
      <c r="E95" s="46">
        <f>ROUND(C95*D95,1)</f>
        <v/>
      </c>
      <c r="F95" s="0" t="inlineStr">
        <is>
          <t>解除原关系或重建：8分</t>
        </is>
      </c>
      <c r="G95" s="0" t="inlineStr">
        <is>
          <t>需排查，且跨两个及以上父体处理：1.6</t>
        </is>
      </c>
      <c r="H95" s="0" t="inlineStr">
        <is>
          <t>整套方案12.8分，不按父体分别领取完整分数。</t>
        </is>
      </c>
    </row>
    <row r="98" ht="30" customHeight="1" s="39">
      <c r="A98" s="0" t="inlineStr">
        <is>
          <t>A+内容增删修改与视频信息维护补充案例</t>
        </is>
      </c>
    </row>
    <row r="99" ht="34" customHeight="1" s="39">
      <c r="A99" s="0" t="inlineStr">
        <is>
          <t>工作项目</t>
        </is>
      </c>
      <c r="B99" s="0" t="inlineStr">
        <is>
          <t>实际场景</t>
        </is>
      </c>
      <c r="C99" s="0" t="inlineStr">
        <is>
          <t>累计基础分</t>
        </is>
      </c>
      <c r="D99" s="0" t="inlineStr">
        <is>
          <t>难度系数</t>
        </is>
      </c>
      <c r="E99" s="0" t="inlineStr">
        <is>
          <t>任务积分</t>
        </is>
      </c>
      <c r="F99" s="0" t="inlineStr">
        <is>
          <t>计算依据</t>
        </is>
      </c>
      <c r="G99" s="0" t="inlineStr">
        <is>
          <t>结算说明</t>
        </is>
      </c>
      <c r="H99" s="0" t="inlineStr">
        <is>
          <t>备注</t>
        </is>
      </c>
    </row>
    <row r="100" ht="105" customHeight="1" s="39">
      <c r="A100" s="0" t="inlineStr">
        <is>
          <t>A+内容增删修改</t>
        </is>
      </c>
      <c r="B100" s="0" t="inlineStr">
        <is>
          <t>同一模块增加两项参数</t>
        </is>
      </c>
      <c r="C100" s="0" t="n">
        <v>2</v>
      </c>
      <c r="D100" s="0" t="n">
        <v>1</v>
      </c>
      <c r="E100" s="0">
        <f>ROUND(C100*D100,1)</f>
        <v/>
      </c>
      <c r="F100" s="0" t="inlineStr">
        <is>
          <t>同模块多处修改只计2分</t>
        </is>
      </c>
      <c r="G100" s="0" t="inlineStr">
        <is>
          <t>同一轮反复修改合并计分</t>
        </is>
      </c>
      <c r="H100" s="0" t="inlineStr"/>
    </row>
    <row r="101" ht="105" customHeight="1" s="39">
      <c r="A101" s="0" t="inlineStr">
        <is>
          <t>A+内容增删修改</t>
        </is>
      </c>
      <c r="B101" s="0" t="inlineStr">
        <is>
          <t>一个模块增加信息，另一个模块删除信息</t>
        </is>
      </c>
      <c r="C101" s="0" t="n">
        <v>4</v>
      </c>
      <c r="D101" s="0" t="n">
        <v>1</v>
      </c>
      <c r="E101" s="0">
        <f>ROUND(C101*D101,1)</f>
        <v/>
      </c>
      <c r="F101" s="0" t="inlineStr">
        <is>
          <t>2个模块×2分</t>
        </is>
      </c>
      <c r="G101" s="0" t="inlineStr">
        <is>
          <t>同份同轮最高10分</t>
        </is>
      </c>
      <c r="H101" s="0" t="inlineStr"/>
    </row>
    <row r="102" ht="105" customHeight="1" s="39">
      <c r="A102" s="0" t="inlineStr">
        <is>
          <t>视频上传与信息维护</t>
        </is>
      </c>
      <c r="B102" s="0" t="inlineStr">
        <is>
          <t>修改1个已有视频的标题等信息</t>
        </is>
      </c>
      <c r="C102" s="0" t="n">
        <v>1</v>
      </c>
      <c r="D102" s="0" t="n">
        <v>1</v>
      </c>
      <c r="E102" s="0">
        <f>ROUND(C102*D102,1)</f>
        <v/>
      </c>
      <c r="F102" s="0" t="inlineStr">
        <is>
          <t>每个视频每轮1分</t>
        </is>
      </c>
      <c r="G102" s="0" t="inlineStr">
        <is>
          <t>同时修改多处信息不重复计分</t>
        </is>
      </c>
      <c r="H102" s="0" t="inlineStr"/>
    </row>
    <row r="103" ht="105" customHeight="1" s="39">
      <c r="A103" s="0" t="inlineStr">
        <is>
          <t>视频上传与信息维护</t>
        </is>
      </c>
      <c r="B103" s="0" t="inlineStr">
        <is>
          <t>替换上传1个视频，并填写标题及首次绑定ASIN</t>
        </is>
      </c>
      <c r="C103" s="0" t="n">
        <v>3</v>
      </c>
      <c r="D103" s="0" t="n">
        <v>1</v>
      </c>
      <c r="E103" s="0">
        <f>ROUND(C103*D103,1)</f>
        <v/>
      </c>
      <c r="F103" s="0" t="inlineStr">
        <is>
          <t>上传或替换3分</t>
        </is>
      </c>
      <c r="G103" s="0" t="inlineStr">
        <is>
          <t>不叠加标题修改或首次绑定分</t>
        </is>
      </c>
      <c r="H103" s="0" t="inlineStr"/>
    </row>
    <row r="104" ht="105" customHeight="1" s="39">
      <c r="A104" s="0" t="inlineStr">
        <is>
          <t>视频上传与信息维护</t>
        </is>
      </c>
      <c r="B104" s="0" t="inlineStr">
        <is>
          <t>已有视频改标题，并新增1个SKU对应ASIN</t>
        </is>
      </c>
      <c r="C104" s="0" t="n">
        <v>2</v>
      </c>
      <c r="D104" s="0" t="n">
        <v>1</v>
      </c>
      <c r="E104" s="0">
        <f>ROUND(C104*D104,1)</f>
        <v/>
      </c>
      <c r="F104" s="0" t="inlineStr">
        <is>
          <t>标题1分＋绑定1分</t>
        </is>
      </c>
      <c r="G104" s="0" t="inlineStr">
        <is>
          <t>同视频同轮任务</t>
        </is>
      </c>
      <c r="H104" s="0" t="inlineStr"/>
    </row>
    <row r="105" ht="105" customHeight="1" s="39">
      <c r="A105" s="0" t="inlineStr">
        <is>
          <t>视频上传与信息维护</t>
        </is>
      </c>
      <c r="B105" s="0" t="inlineStr">
        <is>
          <t>已有视频改标题，并新增5个SKU对应ASIN</t>
        </is>
      </c>
      <c r="C105" s="0" t="n">
        <v>3</v>
      </c>
      <c r="D105" s="0" t="n">
        <v>1</v>
      </c>
      <c r="E105" s="0">
        <f>ROUND(C105*D105,1)</f>
        <v/>
      </c>
      <c r="F105" s="0" t="inlineStr">
        <is>
          <t>标题1分＋绑定2分</t>
        </is>
      </c>
      <c r="G105" s="0" t="inlineStr">
        <is>
          <t>多个ASIN共用同一已有视频</t>
        </is>
      </c>
      <c r="H105" s="0" t="inlineStr"/>
    </row>
    <row r="106" ht="105" customHeight="1" s="39">
      <c r="A106" s="0" t="inlineStr">
        <is>
          <t>视频上传与信息维护</t>
        </is>
      </c>
      <c r="B106" s="0" t="inlineStr">
        <is>
          <t>上传失败后的重试或重复上传同一文件</t>
        </is>
      </c>
      <c r="C106" s="0" t="n">
        <v>0</v>
      </c>
      <c r="D106" s="0" t="n">
        <v>1</v>
      </c>
      <c r="E106" s="0">
        <f>ROUND(C106*D106,1)</f>
        <v/>
      </c>
      <c r="F106" s="0" t="inlineStr">
        <is>
          <t>不新增积分</t>
        </is>
      </c>
      <c r="G106" s="0" t="inlineStr">
        <is>
          <t>并入原任务，不单独计分</t>
        </is>
      </c>
      <c r="H106" s="0" t="inlineStr"/>
    </row>
    <row r="109" ht="30" customHeight="1" s="39">
      <c r="A109" s="0" t="inlineStr">
        <is>
          <t>价格调整、Coupon与Promotion创建及主动改善计分示例</t>
        </is>
      </c>
    </row>
    <row r="110" ht="34" customHeight="1" s="39">
      <c r="A110" s="0" t="inlineStr">
        <is>
          <t>工作项目</t>
        </is>
      </c>
      <c r="B110" s="0" t="inlineStr">
        <is>
          <t>实际场景</t>
        </is>
      </c>
      <c r="C110" s="0" t="inlineStr">
        <is>
          <t>累计基础分</t>
        </is>
      </c>
      <c r="D110" s="0" t="inlineStr">
        <is>
          <t>难度系数</t>
        </is>
      </c>
      <c r="E110" s="0" t="inlineStr">
        <is>
          <t>任务积分</t>
        </is>
      </c>
      <c r="F110" s="0" t="inlineStr">
        <is>
          <t>计算依据</t>
        </is>
      </c>
      <c r="G110" s="0" t="inlineStr">
        <is>
          <t>结算说明</t>
        </is>
      </c>
      <c r="H110" s="0" t="inlineStr">
        <is>
          <t>备注</t>
        </is>
      </c>
    </row>
    <row r="111" ht="105" customHeight="1" s="39">
      <c r="A111" s="0" t="inlineStr">
        <is>
          <t>价格调整</t>
        </is>
      </c>
      <c r="B111" s="0" t="inlineStr">
        <is>
          <t>一次安排10个SKU按各自指定价格调整</t>
        </is>
      </c>
      <c r="C111" s="0" t="n">
        <v>3</v>
      </c>
      <c r="D111" s="0" t="n">
        <v>1</v>
      </c>
      <c r="E111" s="0">
        <f>ROUND(C111*D111,1)</f>
        <v/>
      </c>
      <c r="F111" s="0" t="inlineStr">
        <is>
          <t>同次安排计一批</t>
        </is>
      </c>
      <c r="G111" s="0" t="inlineStr">
        <is>
          <t>OA拆分不增加批次</t>
        </is>
      </c>
      <c r="H111" s="0" t="inlineStr"/>
    </row>
    <row r="112" ht="105" customHeight="1" s="39">
      <c r="A112" s="0" t="inlineStr">
        <is>
          <t>Coupon与Promotion创建</t>
        </is>
      </c>
      <c r="B112" s="0" t="inlineStr">
        <is>
          <t>创建1个Coupon，含20个SKU</t>
        </is>
      </c>
      <c r="C112" s="0" t="n">
        <v>3</v>
      </c>
      <c r="D112" s="0" t="n">
        <v>1</v>
      </c>
      <c r="E112" s="0">
        <f>ROUND(C112*D112,1)</f>
        <v/>
      </c>
      <c r="F112" s="0" t="inlineStr">
        <is>
          <t>每个独立活动3分</t>
        </is>
      </c>
      <c r="G112" s="0" t="inlineStr">
        <is>
          <t>不按SKU数量增加</t>
        </is>
      </c>
      <c r="H112" s="0" t="inlineStr"/>
    </row>
    <row r="113" ht="105" customHeight="1" s="39">
      <c r="A113" s="0" t="inlineStr">
        <is>
          <t>Coupon与Promotion创建</t>
        </is>
      </c>
      <c r="B113" s="0" t="inlineStr">
        <is>
          <t>创建3个Coupon和2个Promotion</t>
        </is>
      </c>
      <c r="C113" s="0" t="n">
        <v>15</v>
      </c>
      <c r="D113" s="0" t="n">
        <v>1</v>
      </c>
      <c r="E113" s="0">
        <f>ROUND(C113*D113,1)</f>
        <v/>
      </c>
      <c r="F113" s="0" t="inlineStr">
        <is>
          <t>5×3分</t>
        </is>
      </c>
      <c r="G113" s="0" t="inlineStr">
        <is>
          <t>实际需要分别创建的5个活动</t>
        </is>
      </c>
      <c r="H113" s="0" t="inlineStr"/>
    </row>
    <row r="114" ht="105" customHeight="1" s="39">
      <c r="A114" s="0" t="inlineStr">
        <is>
          <t>主动改善</t>
        </is>
      </c>
      <c r="B114" s="0" t="inlineStr">
        <is>
          <t>主动解决3个独立问题＋1项持续改善</t>
        </is>
      </c>
      <c r="C114" s="0" t="n">
        <v>18</v>
      </c>
      <c r="D114" s="0" t="n">
        <v>1</v>
      </c>
      <c r="E114" s="0">
        <f>ROUND(C114*D114,1)</f>
        <v/>
      </c>
      <c r="F114" s="0" t="inlineStr">
        <is>
          <t>3×4＋6＝18分</t>
        </is>
      </c>
      <c r="G114" s="0" t="inlineStr">
        <is>
          <t>计入最高20分部分；不乘任务难度系数</t>
        </is>
      </c>
      <c r="H114" s="0" t="inlineStr"/>
    </row>
    <row r="117" ht="30" customHeight="1" s="39">
      <c r="A117" s="0" t="inlineStr">
        <is>
          <t>Buy Box异常处理：固定3分，处理验收与恢复结果分开记录</t>
        </is>
      </c>
    </row>
    <row r="118" ht="34" customHeight="1" s="39">
      <c r="A118" s="0" t="inlineStr">
        <is>
          <t>工作项目</t>
        </is>
      </c>
      <c r="B118" s="0" t="inlineStr">
        <is>
          <t>实际场景</t>
        </is>
      </c>
      <c r="C118" s="0" t="inlineStr">
        <is>
          <t>累计基础分</t>
        </is>
      </c>
      <c r="D118" s="0" t="inlineStr">
        <is>
          <t>难度系数</t>
        </is>
      </c>
      <c r="E118" s="0" t="inlineStr">
        <is>
          <t>任务积分</t>
        </is>
      </c>
      <c r="F118" s="0" t="inlineStr">
        <is>
          <t>计算依据</t>
        </is>
      </c>
      <c r="G118" s="0" t="inlineStr">
        <is>
          <t>结算说明</t>
        </is>
      </c>
      <c r="H118" s="0" t="inlineStr">
        <is>
          <t>备注</t>
        </is>
      </c>
    </row>
    <row r="119" ht="105" customHeight="1" s="39">
      <c r="A119" s="0" t="inlineStr">
        <is>
          <t>Buy Box异常处理</t>
        </is>
      </c>
      <c r="B119" s="0" t="inlineStr">
        <is>
          <t>首次开Case后恢复</t>
        </is>
      </c>
      <c r="C119" s="0" t="n">
        <v>3</v>
      </c>
      <c r="D119" s="0" t="n">
        <v>1</v>
      </c>
      <c r="E119" s="0">
        <f>IF(ISNUMBER(C119),ROUND(C119*D119,1),"")</f>
        <v/>
      </c>
      <c r="F119" s="0" t="inlineStr">
        <is>
          <t>完成规定处理及恢复核验</t>
        </is>
      </c>
      <c r="G119" s="0" t="inlineStr">
        <is>
          <t>3分</t>
        </is>
      </c>
      <c r="H119" s="0" t="inlineStr"/>
    </row>
    <row r="120" ht="105" customHeight="1" s="39">
      <c r="A120" s="0" t="inlineStr">
        <is>
          <t>Buy Box异常处理</t>
        </is>
      </c>
      <c r="B120" s="0" t="inlineStr">
        <is>
          <t>多次开Case后恢复</t>
        </is>
      </c>
      <c r="C120" s="0" t="n">
        <v>3</v>
      </c>
      <c r="D120" s="0" t="n">
        <v>1</v>
      </c>
      <c r="E120" s="0">
        <f>IF(ISNUMBER(C120),ROUND(C120*D120,1),"")</f>
        <v/>
      </c>
      <c r="F120" s="0" t="inlineStr">
        <is>
          <t>同一任务合并计分</t>
        </is>
      </c>
      <c r="G120" s="0" t="inlineStr">
        <is>
          <t>不按Case数量加分</t>
        </is>
      </c>
      <c r="H120" s="0" t="inlineStr"/>
    </row>
    <row r="121" ht="105" customHeight="1" s="39">
      <c r="A121" s="0" t="inlineStr">
        <is>
          <t>Buy Box异常处理</t>
        </is>
      </c>
      <c r="B121" s="0" t="inlineStr">
        <is>
          <t>未恢复，经负责人确认阶段结案</t>
        </is>
      </c>
      <c r="C121" s="0" t="n">
        <v>3</v>
      </c>
      <c r="D121" s="0" t="n">
        <v>1</v>
      </c>
      <c r="E121" s="0">
        <f>IF(ISNUMBER(C121),ROUND(C121*D121,1),"")</f>
        <v/>
      </c>
      <c r="F121" s="0" t="inlineStr">
        <is>
          <t>取证截图、Case编号及最终回复齐全</t>
        </is>
      </c>
      <c r="G121" s="0" t="inlineStr">
        <is>
          <t>恢复状态仍记“未恢复”，不是“已解决”</t>
        </is>
      </c>
      <c r="H121" s="0" t="inlineStr"/>
    </row>
    <row r="122" ht="105" customHeight="1" s="39">
      <c r="A122" s="0" t="inlineStr">
        <is>
          <t>Buy Box异常处理</t>
        </is>
      </c>
      <c r="B122" s="0" t="inlineStr">
        <is>
          <t>未恢复，仍在处理中</t>
        </is>
      </c>
      <c r="D122" s="0" t="n">
        <v>1</v>
      </c>
      <c r="E122" s="0">
        <f>IF(ISNUMBER(C122),ROUND(C122*D122,1),"")</f>
        <v/>
      </c>
      <c r="F122" s="0" t="inlineStr">
        <is>
          <t>未完成验收，暂不结算</t>
        </is>
      </c>
      <c r="G122" s="0" t="inlineStr">
        <is>
          <t>分值留空表示待结算，不是任务定为0分</t>
        </is>
      </c>
      <c r="H122" s="0" t="inlineStr"/>
    </row>
    <row r="123" ht="105" customHeight="1" s="39">
      <c r="A123" s="0" t="inlineStr">
        <is>
          <t>Buy Box异常处理</t>
        </is>
      </c>
      <c r="B123" s="0" t="inlineStr">
        <is>
          <t>已阶段结案计3分，后续同一异常恢复</t>
        </is>
      </c>
      <c r="C123" s="0" t="n">
        <v>0</v>
      </c>
      <c r="D123" s="0" t="n">
        <v>1</v>
      </c>
      <c r="E123" s="0">
        <f>IF(ISNUMBER(C123),ROUND(C123*D123,1),"")</f>
        <v/>
      </c>
      <c r="F123" s="0" t="inlineStr">
        <is>
          <t>本次不新增积分</t>
        </is>
      </c>
      <c r="G123" s="0" t="inlineStr">
        <is>
          <t>同一任务累计不超过3分</t>
        </is>
      </c>
      <c r="H123" s="0" t="inlineStr"/>
    </row>
    <row r="126" ht="30" customHeight="1" s="39">
      <c r="A126" s="0" t="inlineStr">
        <is>
          <t>Deal提报及促销报错的计分边界</t>
        </is>
      </c>
    </row>
    <row r="127" ht="34" customHeight="1" s="39">
      <c r="A127" s="0" t="inlineStr">
        <is>
          <t>工作项目</t>
        </is>
      </c>
      <c r="B127" s="0" t="inlineStr">
        <is>
          <t>实际场景</t>
        </is>
      </c>
      <c r="C127" s="0" t="inlineStr">
        <is>
          <t>累计基础分</t>
        </is>
      </c>
      <c r="D127" s="0" t="inlineStr">
        <is>
          <t>难度系数</t>
        </is>
      </c>
      <c r="E127" s="0" t="inlineStr">
        <is>
          <t>任务积分</t>
        </is>
      </c>
      <c r="F127" s="0" t="inlineStr">
        <is>
          <t>计算依据</t>
        </is>
      </c>
      <c r="G127" s="0" t="inlineStr">
        <is>
          <t>结算说明</t>
        </is>
      </c>
      <c r="H127" s="0" t="inlineStr">
        <is>
          <t>备注</t>
        </is>
      </c>
    </row>
    <row r="128" ht="105" customHeight="1" s="39">
      <c r="A128" s="0" t="inlineStr">
        <is>
          <t>Deal活动提报</t>
        </is>
      </c>
      <c r="B128" s="0" t="inlineStr">
        <is>
          <t>提报1个独立Deal，包含多个SKU</t>
        </is>
      </c>
      <c r="C128" s="0" t="n">
        <v>2</v>
      </c>
      <c r="D128" s="0" t="n">
        <v>1</v>
      </c>
      <c r="E128" s="0">
        <f>ROUND(C128*D128,1)</f>
        <v/>
      </c>
      <c r="F128" s="0" t="inlineStr">
        <is>
          <t>每Deal2分</t>
        </is>
      </c>
      <c r="G128" s="0" t="inlineStr">
        <is>
          <t>完成提报及提交结果核验，审批状态单独记录</t>
        </is>
      </c>
      <c r="H128" s="0" t="inlineStr"/>
    </row>
    <row r="129" ht="105" customHeight="1" s="39">
      <c r="A129" s="0" t="inlineStr">
        <is>
          <t>Deal活动提报</t>
        </is>
      </c>
      <c r="B129" s="0" t="inlineStr">
        <is>
          <t>提报5个独立Deal</t>
        </is>
      </c>
      <c r="C129" s="0" t="n">
        <v>10</v>
      </c>
      <c r="D129" s="0" t="n">
        <v>1</v>
      </c>
      <c r="E129" s="0">
        <f>ROUND(C129*D129,1)</f>
        <v/>
      </c>
      <c r="F129" s="0" t="inlineStr">
        <is>
          <t>5×2＝10分</t>
        </is>
      </c>
      <c r="G129" s="0" t="inlineStr">
        <is>
          <t>不按商品数增加</t>
        </is>
      </c>
      <c r="H129" s="0" t="inlineStr"/>
    </row>
    <row r="130" ht="105" customHeight="1" s="39">
      <c r="A130" s="0" t="inlineStr">
        <is>
          <t>Coupon与Promotion创建</t>
        </is>
      </c>
      <c r="B130" s="0" t="inlineStr">
        <is>
          <t>1个活动创建中报错，修正后重新提交并核验</t>
        </is>
      </c>
      <c r="C130" s="0" t="n">
        <v>3</v>
      </c>
      <c r="D130" s="0" t="n">
        <v>1</v>
      </c>
      <c r="E130" s="0">
        <f>ROUND(C130*D130,1)</f>
        <v/>
      </c>
      <c r="F130" s="0" t="inlineStr">
        <is>
          <t>原活动总计3分</t>
        </is>
      </c>
      <c r="G130" s="0" t="inlineStr">
        <is>
          <t>报错修正及重试不另计分</t>
        </is>
      </c>
      <c r="H130" s="0" t="inlineStr"/>
    </row>
    <row r="131" ht="105" customHeight="1" s="39">
      <c r="A131" s="0" t="inlineStr">
        <is>
          <t>Deal活动提报</t>
        </is>
      </c>
      <c r="B131" s="0" t="inlineStr">
        <is>
          <t>同一Deal提交失败，修正参数后重新提报并核验</t>
        </is>
      </c>
      <c r="C131" s="0" t="n">
        <v>2</v>
      </c>
      <c r="D131" s="0" t="n">
        <v>1</v>
      </c>
      <c r="E131" s="0">
        <f>ROUND(C131*D131,1)</f>
        <v/>
      </c>
      <c r="F131" s="0" t="inlineStr">
        <is>
          <t>原Deal总计2分</t>
        </is>
      </c>
      <c r="G131" s="0" t="inlineStr">
        <is>
          <t>不另计异常处理分</t>
        </is>
      </c>
      <c r="H131" s="0" t="inlineStr"/>
    </row>
    <row r="134" ht="30" customHeight="1" s="39">
      <c r="A134" s="0" t="inlineStr">
        <is>
          <t>广告创建：按Campaign计分，关联Ads Change认领记录</t>
        </is>
      </c>
    </row>
    <row r="135" ht="34" customHeight="1" s="39">
      <c r="A135" s="0" t="inlineStr">
        <is>
          <t>工作项目</t>
        </is>
      </c>
      <c r="B135" s="0" t="inlineStr">
        <is>
          <t>实际场景</t>
        </is>
      </c>
      <c r="C135" s="0" t="inlineStr">
        <is>
          <t>累计基础分</t>
        </is>
      </c>
      <c r="D135" s="0" t="inlineStr">
        <is>
          <t>难度系数</t>
        </is>
      </c>
      <c r="E135" s="0" t="inlineStr">
        <is>
          <t>任务积分</t>
        </is>
      </c>
      <c r="F135" s="0" t="inlineStr">
        <is>
          <t>计算依据</t>
        </is>
      </c>
      <c r="G135" s="0" t="inlineStr">
        <is>
          <t>结算说明</t>
        </is>
      </c>
      <c r="H135" s="0" t="inlineStr">
        <is>
          <t>备注</t>
        </is>
      </c>
    </row>
    <row r="136" ht="105" customHeight="1" s="39">
      <c r="A136" s="0" t="inlineStr">
        <is>
          <t>SP广告创建</t>
        </is>
      </c>
      <c r="B136" s="0" t="inlineStr">
        <is>
          <t>创建3个独立SP Campaign</t>
        </is>
      </c>
      <c r="C136" s="0" t="n">
        <v>9</v>
      </c>
      <c r="D136" s="0" t="n">
        <v>1</v>
      </c>
      <c r="E136" s="0">
        <f>ROUND(C136*D136,1)</f>
        <v/>
      </c>
      <c r="F136" s="0" t="inlineStr">
        <is>
          <t>3×3分</t>
        </is>
      </c>
      <c r="G136" s="0" t="inlineStr">
        <is>
          <t>认领变化、关联任务、填写原因并核验后计分</t>
        </is>
      </c>
      <c r="H136" s="0" t="inlineStr">
        <is>
          <t>自主发起只计主动分，不叠加本例任务分</t>
        </is>
      </c>
    </row>
    <row r="137" ht="105" customHeight="1" s="39">
      <c r="A137" s="0" t="inlineStr">
        <is>
          <t>SB广告创建</t>
        </is>
      </c>
      <c r="B137" s="0" t="inlineStr">
        <is>
          <t>创建3个独立SB Campaign</t>
        </is>
      </c>
      <c r="C137" s="0" t="n">
        <v>12</v>
      </c>
      <c r="D137" s="0" t="n">
        <v>1</v>
      </c>
      <c r="E137" s="0">
        <f>ROUND(C137*D137,1)</f>
        <v/>
      </c>
      <c r="F137" s="0" t="inlineStr">
        <is>
          <t>3×4分</t>
        </is>
      </c>
      <c r="G137" s="0" t="inlineStr">
        <is>
          <t>认领变化、关联任务、填写原因并核验后计分</t>
        </is>
      </c>
      <c r="H137" s="0" t="inlineStr">
        <is>
          <t>自主发起只计主动分，不叠加本例任务分</t>
        </is>
      </c>
    </row>
    <row r="138" ht="105" customHeight="1" s="39">
      <c r="A138" s="0" t="inlineStr">
        <is>
          <t>SBV广告创建</t>
        </is>
      </c>
      <c r="B138" s="0" t="inlineStr">
        <is>
          <t>创建1个SBV Campaign</t>
        </is>
      </c>
      <c r="C138" s="0" t="n">
        <v>4</v>
      </c>
      <c r="D138" s="0" t="n">
        <v>1</v>
      </c>
      <c r="E138" s="0">
        <f>ROUND(C138*D138,1)</f>
        <v/>
      </c>
      <c r="F138" s="0" t="inlineStr">
        <is>
          <t>只计SBV，不同时计SB</t>
        </is>
      </c>
      <c r="G138" s="0" t="inlineStr">
        <is>
          <t>认领变化、关联任务、填写原因并核验后计分</t>
        </is>
      </c>
      <c r="H138" s="0" t="inlineStr">
        <is>
          <t>自主发起只计主动分，不叠加本例任务分</t>
        </is>
      </c>
    </row>
    <row r="139" ht="105" customHeight="1" s="39">
      <c r="A139" s="0" t="inlineStr">
        <is>
          <t>SD广告创建</t>
        </is>
      </c>
      <c r="B139" s="0" t="inlineStr">
        <is>
          <t>创建1个SD Campaign</t>
        </is>
      </c>
      <c r="C139" s="0" t="n">
        <v>4</v>
      </c>
      <c r="D139" s="0" t="n">
        <v>1</v>
      </c>
      <c r="E139" s="0">
        <f>ROUND(C139*D139,1)</f>
        <v/>
      </c>
      <c r="F139" s="0" t="inlineStr">
        <is>
          <t>不按目标或素材数加分</t>
        </is>
      </c>
      <c r="G139" s="0" t="inlineStr">
        <is>
          <t>认领变化、关联任务、填写原因并核验后计分</t>
        </is>
      </c>
      <c r="H139" s="0" t="inlineStr">
        <is>
          <t>自主发起只计主动分，不叠加本例任务分</t>
        </is>
      </c>
    </row>
    <row r="140" ht="105" customHeight="1" s="39">
      <c r="A140" s="0" t="inlineStr">
        <is>
          <t>SP广告创建</t>
        </is>
      </c>
      <c r="B140" s="0" t="inlineStr">
        <is>
          <t>1个SP Campaign产生多条Ads Change记录</t>
        </is>
      </c>
      <c r="C140" s="0" t="n">
        <v>3</v>
      </c>
      <c r="D140" s="0" t="n">
        <v>1</v>
      </c>
      <c r="E140" s="0">
        <f>ROUND(C140*D140,1)</f>
        <v/>
      </c>
      <c r="F140" s="0" t="inlineStr">
        <is>
          <t>按Campaign ID去重，只计一次</t>
        </is>
      </c>
      <c r="G140" s="0" t="inlineStr">
        <is>
          <t>认领变化、关联任务、填写原因并核验后计分</t>
        </is>
      </c>
      <c r="H140" s="0" t="inlineStr">
        <is>
          <t>自主发起只计主动分，不叠加本例任务分</t>
        </is>
      </c>
    </row>
    <row r="143" ht="30" customHeight="1" s="39">
      <c r="A143" s="47" t="inlineStr">
        <is>
          <t>广告执行调整：按涉及Campaign数量分档计分</t>
        </is>
      </c>
    </row>
    <row r="144" ht="34" customHeight="1" s="39">
      <c r="A144" s="48" t="inlineStr">
        <is>
          <t>工作项目</t>
        </is>
      </c>
      <c r="B144" s="48" t="inlineStr">
        <is>
          <t>实际场景</t>
        </is>
      </c>
      <c r="C144" s="48" t="inlineStr">
        <is>
          <t>累计基础分</t>
        </is>
      </c>
      <c r="D144" s="48" t="inlineStr">
        <is>
          <t>难度系数</t>
        </is>
      </c>
      <c r="E144" s="48" t="inlineStr">
        <is>
          <t>任务积分</t>
        </is>
      </c>
      <c r="F144" s="48" t="inlineStr">
        <is>
          <t>计算依据</t>
        </is>
      </c>
      <c r="G144" s="48" t="inlineStr">
        <is>
          <t>结算说明</t>
        </is>
      </c>
      <c r="H144" s="48" t="inlineStr">
        <is>
          <t>备注</t>
        </is>
      </c>
    </row>
    <row r="145" ht="105" customHeight="1" s="39">
      <c r="A145" s="0" t="inlineStr">
        <is>
          <t>广告执行调整</t>
        </is>
      </c>
      <c r="B145" s="0" t="inlineStr">
        <is>
          <t>同次安排调整3个Campaign的Bid</t>
        </is>
      </c>
      <c r="C145" s="0" t="n">
        <v>2</v>
      </c>
      <c r="D145" s="0" t="n">
        <v>1</v>
      </c>
      <c r="E145" s="0">
        <f>ROUND(C145*D145,1)</f>
        <v/>
      </c>
      <c r="F145" s="0" t="inlineStr">
        <is>
          <t>≤5个Campaign：2分</t>
        </is>
      </c>
      <c r="G145" s="0" t="inlineStr">
        <is>
          <t>认领变化、关联任务、填写原因并核验后计分</t>
        </is>
      </c>
      <c r="H145" s="0" t="inlineStr">
        <is>
          <t>自主发起只计主动分，不叠加本例任务分</t>
        </is>
      </c>
    </row>
    <row r="146" ht="105" customHeight="1" s="39">
      <c r="A146" s="0" t="inlineStr">
        <is>
          <t>广告执行调整</t>
        </is>
      </c>
      <c r="B146" s="0" t="inlineStr">
        <is>
          <t>同次安排调整15个Campaign的否定词</t>
        </is>
      </c>
      <c r="C146" s="0" t="n">
        <v>3</v>
      </c>
      <c r="D146" s="0" t="n">
        <v>1</v>
      </c>
      <c r="E146" s="0">
        <f>ROUND(C146*D146,1)</f>
        <v/>
      </c>
      <c r="F146" s="0" t="inlineStr">
        <is>
          <t>6—20个Campaign：3分</t>
        </is>
      </c>
      <c r="G146" s="0" t="inlineStr">
        <is>
          <t>同一调整目的的多项明细只计一次</t>
        </is>
      </c>
      <c r="H146" s="0" t="inlineStr">
        <is>
          <t>自主发起只计主动分，不叠加本例任务分</t>
        </is>
      </c>
    </row>
    <row r="147" ht="105" customHeight="1" s="39">
      <c r="A147" s="0" t="inlineStr">
        <is>
          <t>广告执行调整</t>
        </is>
      </c>
      <c r="B147" s="0" t="inlineStr">
        <is>
          <t>同次安排调整30个Campaign的关键词与Bid</t>
        </is>
      </c>
      <c r="C147" s="0" t="n">
        <v>4</v>
      </c>
      <c r="D147" s="0" t="n">
        <v>1</v>
      </c>
      <c r="E147" s="0">
        <f>ROUND(C147*D147,1)</f>
        <v/>
      </c>
      <c r="F147" s="0" t="inlineStr">
        <is>
          <t>21个及以上Campaign：4分</t>
        </is>
      </c>
      <c r="G147" s="0" t="inlineStr">
        <is>
          <t>不按调整类型拆分，同一目的合并</t>
        </is>
      </c>
      <c r="H147" s="0" t="inlineStr">
        <is>
          <t>自主发起只计主动分，不叠加本例任务分</t>
        </is>
      </c>
    </row>
    <row r="148" ht="105" customHeight="1" s="39">
      <c r="A148" s="0" t="inlineStr">
        <is>
          <t>广告执行调整</t>
        </is>
      </c>
      <c r="B148" s="0" t="inlineStr">
        <is>
          <t>同次安排同时调整否定词和Bid，涉及8个Campaign</t>
        </is>
      </c>
      <c r="C148" s="0" t="n">
        <v>3</v>
      </c>
      <c r="D148" s="0" t="n">
        <v>1</v>
      </c>
      <c r="E148" s="0">
        <f>ROUND(C148*D148,1)</f>
        <v/>
      </c>
      <c r="F148" s="0" t="inlineStr">
        <is>
          <t>同一调整目的关联一个任务</t>
        </is>
      </c>
      <c r="G148" s="0" t="inlineStr">
        <is>
          <t>不按调整类型分别计分</t>
        </is>
      </c>
      <c r="H148" s="0" t="inlineStr">
        <is>
          <t>自主发起只计主动分，不叠加本例任务分</t>
        </is>
      </c>
    </row>
    <row r="149">
      <c r="A149" s="0" t="inlineStr">
        <is>
          <t>广告执行调整</t>
        </is>
      </c>
      <c r="B149" s="0" t="inlineStr">
        <is>
          <t>两个独立目的分别调整不同Campaign</t>
        </is>
      </c>
      <c r="C149" s="0" t="inlineStr">
        <is>
          <t>各自分档</t>
        </is>
      </c>
      <c r="D149" s="0" t="n">
        <v>1</v>
      </c>
      <c r="E149" s="0" t="inlineStr">
        <is>
          <t>各自分档</t>
        </is>
      </c>
      <c r="F149" s="0" t="inlineStr">
        <is>
          <t>按独立目的分别计分</t>
        </is>
      </c>
      <c r="G149" s="0" t="inlineStr">
        <is>
          <t>每个目的按各自Campaign数量分档</t>
        </is>
      </c>
      <c r="H149" s="0" t="inlineStr">
        <is>
          <t>各自独立按≤5/6-20/21+选档</t>
        </is>
      </c>
    </row>
    <row r="151" ht="30" customHeight="1" s="39"/>
    <row r="152" ht="34" customHeight="1" s="39"/>
    <row r="153" ht="105" customHeight="1" s="39"/>
    <row r="154" ht="105" customHeight="1" s="39"/>
    <row r="155" ht="105" customHeight="1" s="39"/>
    <row r="156" ht="105" customHeight="1" s="39"/>
    <row r="157" ht="105" customHeight="1" s="39"/>
    <row r="160" ht="30" customHeight="1" s="39">
      <c r="A160" s="0" t="inlineStr">
        <is>
          <t>按发起来源选择唯一计分路径</t>
        </is>
      </c>
    </row>
    <row r="161" ht="34" customHeight="1" s="39">
      <c r="A161" s="19" t="inlineStr">
        <is>
          <t>发起来源</t>
        </is>
      </c>
      <c r="B161" s="19" t="inlineStr">
        <is>
          <t>实际工作</t>
        </is>
      </c>
      <c r="C161" s="19" t="inlineStr">
        <is>
          <t>任务积分</t>
        </is>
      </c>
      <c r="D161" s="19" t="inlineStr">
        <is>
          <t>主动改善分</t>
        </is>
      </c>
      <c r="E161" s="19" t="inlineStr">
        <is>
          <t>唯一计分路径</t>
        </is>
      </c>
      <c r="F161" s="19" t="inlineStr">
        <is>
          <t>认定条件</t>
        </is>
      </c>
      <c r="G161" s="19" t="inlineStr">
        <is>
          <t>归属说明</t>
        </is>
      </c>
      <c r="H161" s="19" t="inlineStr">
        <is>
          <t>防重复规则</t>
        </is>
      </c>
    </row>
    <row r="162" ht="105" customHeight="1" s="39">
      <c r="A162" s="2" t="n"/>
      <c r="B162" s="2" t="n"/>
      <c r="C162" s="2" t="n"/>
      <c r="D162" s="2" t="n"/>
      <c r="E162" s="2" t="n"/>
      <c r="F162" s="2" t="n"/>
      <c r="G162" s="2" t="n"/>
      <c r="H162" s="2" t="n"/>
    </row>
    <row r="163" ht="105" customHeight="1" s="39">
      <c r="A163" s="2" t="inlineStr">
        <is>
          <t>员工自主发起</t>
        </is>
      </c>
      <c r="B163" s="2" t="inlineStr">
        <is>
          <t>自行发现无效花费，处理并核验解决</t>
        </is>
      </c>
      <c r="C163" s="2" t="n">
        <v>0</v>
      </c>
      <c r="D163" s="2" t="n">
        <v>4</v>
      </c>
      <c r="E163" s="2" t="inlineStr">
        <is>
          <t>主动改善部分</t>
        </is>
      </c>
      <c r="F163" s="2" t="inlineStr">
        <is>
          <t>符合推动解决认定</t>
        </is>
      </c>
      <c r="G163" s="2" t="inlineStr">
        <is>
          <t>同案取最高档</t>
        </is>
      </c>
      <c r="H163" s="2" t="inlineStr">
        <is>
          <t>不叠加2分任务积分</t>
        </is>
      </c>
    </row>
    <row r="164" ht="105" customHeight="1" s="39">
      <c r="A164" s="2" t="inlineStr">
        <is>
          <t>员工先建议、后获批</t>
        </is>
      </c>
      <c r="B164" s="2" t="inlineStr">
        <is>
          <t>先提出问题方案，再获批准并执行解决</t>
        </is>
      </c>
      <c r="C164" s="2" t="n">
        <v>0</v>
      </c>
      <c r="D164" s="2" t="n">
        <v>4</v>
      </c>
      <c r="E164" s="2" t="inlineStr">
        <is>
          <t>主动改善部分</t>
        </is>
      </c>
      <c r="F164" s="2" t="inlineStr">
        <is>
          <t>保留首次提议及审批记录</t>
        </is>
      </c>
      <c r="G164" s="2" t="inlineStr">
        <is>
          <t>补建任务不改变自主来源</t>
        </is>
      </c>
      <c r="H164" s="2" t="inlineStr">
        <is>
          <t>不重复领取任务分</t>
        </is>
      </c>
    </row>
    <row r="165" ht="105" customHeight="1" s="39">
      <c r="A165" s="2" t="n"/>
      <c r="B165" s="2" t="n"/>
      <c r="C165" s="2" t="n"/>
      <c r="D165" s="2" t="n"/>
      <c r="E165" s="2" t="n"/>
      <c r="F165" s="2" t="n"/>
      <c r="G165" s="2" t="n"/>
      <c r="H165" s="2" t="n"/>
    </row>
    <row r="168" ht="30" customHeight="1" s="39">
      <c r="A168" s="0" t="inlineStr">
        <is>
          <t>滞留库存处理：按处理方式选择基础分</t>
        </is>
      </c>
    </row>
    <row r="169" ht="34" customHeight="1" s="39">
      <c r="A169" s="0" t="inlineStr">
        <is>
          <t>工作项目</t>
        </is>
      </c>
      <c r="B169" s="0" t="inlineStr">
        <is>
          <t>实际场景</t>
        </is>
      </c>
      <c r="C169" s="0" t="inlineStr">
        <is>
          <t>累计基础分</t>
        </is>
      </c>
      <c r="D169" s="0" t="inlineStr">
        <is>
          <t>难度系数</t>
        </is>
      </c>
      <c r="E169" s="0" t="inlineStr">
        <is>
          <t>任务积分</t>
        </is>
      </c>
      <c r="F169" s="0" t="inlineStr">
        <is>
          <t>计算依据</t>
        </is>
      </c>
      <c r="G169" s="0" t="inlineStr">
        <is>
          <t>结算说明</t>
        </is>
      </c>
      <c r="H169" s="0" t="inlineStr">
        <is>
          <t>备注</t>
        </is>
      </c>
    </row>
    <row r="170" ht="105" customHeight="1" s="39">
      <c r="A170" s="0" t="inlineStr">
        <is>
          <t>滞留库存处理</t>
        </is>
      </c>
      <c r="B170" s="0" t="inlineStr">
        <is>
          <t>同次安排同批移除10个SKU</t>
        </is>
      </c>
      <c r="C170" s="0" t="n">
        <v>2</v>
      </c>
      <c r="D170" s="0" t="n">
        <v>1</v>
      </c>
      <c r="E170" s="0">
        <f>ROUND(C170*D170,1)</f>
        <v/>
      </c>
      <c r="F170" s="0" t="inlineStr">
        <is>
          <t>移除订单成功创建并核对</t>
        </is>
      </c>
      <c r="G170" s="0" t="inlineStr">
        <is>
          <t>不按SKU数量增加分数</t>
        </is>
      </c>
      <c r="H170" s="0" t="inlineStr">
        <is>
          <t>示例为负责人安排；自主发起仅计主动分</t>
        </is>
      </c>
    </row>
    <row r="171" ht="105" customHeight="1" s="39">
      <c r="A171" s="0" t="inlineStr">
        <is>
          <t>滞留库存处理</t>
        </is>
      </c>
      <c r="B171" s="0" t="inlineStr">
        <is>
          <t>同批完成多个SKU的Relist</t>
        </is>
      </c>
      <c r="C171" s="0" t="n">
        <v>2</v>
      </c>
      <c r="D171" s="0" t="n">
        <v>1</v>
      </c>
      <c r="E171" s="0">
        <f>ROUND(C171*D171,1)</f>
        <v/>
      </c>
      <c r="F171" s="0" t="inlineStr">
        <is>
          <t>重新发布并核验相关状态</t>
        </is>
      </c>
      <c r="G171" s="0" t="inlineStr">
        <is>
          <t>同一处理方式合并一批</t>
        </is>
      </c>
      <c r="H171" s="0" t="inlineStr">
        <is>
          <t>示例为负责人安排；自主发起仅计主动分</t>
        </is>
      </c>
    </row>
    <row r="172" ht="105" customHeight="1" s="39">
      <c r="A172" s="0" t="inlineStr">
        <is>
          <t>滞留库存处理</t>
        </is>
      </c>
      <c r="B172" s="0" t="inlineStr">
        <is>
          <t>同一问题先Relist，再申诉并完成处理</t>
        </is>
      </c>
      <c r="C172" s="0" t="n">
        <v>3</v>
      </c>
      <c r="D172" s="0" t="n">
        <v>1</v>
      </c>
      <c r="E172" s="0">
        <f>ROUND(C172*D172,1)</f>
        <v/>
      </c>
      <c r="F172" s="0" t="inlineStr">
        <is>
          <t>按适用最高档3分</t>
        </is>
      </c>
      <c r="G172" s="0" t="inlineStr">
        <is>
          <t>不按2＋3＝5分累计</t>
        </is>
      </c>
      <c r="H172" s="0" t="inlineStr">
        <is>
          <t>示例为负责人安排；自主发起仅计主动分</t>
        </is>
      </c>
    </row>
    <row r="173" ht="105" customHeight="1" s="39">
      <c r="A173" s="0" t="inlineStr">
        <is>
          <t>滞留库存处理</t>
        </is>
      </c>
      <c r="B173" s="0" t="inlineStr">
        <is>
          <t>已有完整电池豁免或化学品资料，核对后提交</t>
        </is>
      </c>
      <c r="C173" s="0" t="n">
        <v>2</v>
      </c>
      <c r="D173" s="0" t="n">
        <v>1</v>
      </c>
      <c r="E173" s="0">
        <f>ROUND(C173*D173,1)</f>
        <v/>
      </c>
      <c r="F173" s="0" t="inlineStr">
        <is>
          <t>直接资料提交档</t>
        </is>
      </c>
      <c r="G173" s="0" t="inlineStr">
        <is>
          <t>保留文件版本、对应SKU及提交记录</t>
        </is>
      </c>
      <c r="H173" s="0" t="inlineStr">
        <is>
          <t>示例为负责人安排；自主发起仅计主动分</t>
        </is>
      </c>
    </row>
    <row r="174" ht="105" customHeight="1" s="39">
      <c r="A174" s="0" t="inlineStr">
        <is>
          <t>滞留库存处理</t>
        </is>
      </c>
      <c r="B174" s="0" t="inlineStr">
        <is>
          <t>需向负责人获取并核对资料，再提交跟进</t>
        </is>
      </c>
      <c r="C174" s="0" t="n">
        <v>3</v>
      </c>
      <c r="D174" s="0" t="n">
        <v>1</v>
      </c>
      <c r="E174" s="0">
        <f>ROUND(C174*D174,1)</f>
        <v/>
      </c>
      <c r="F174" s="0" t="inlineStr">
        <is>
          <t>协调获取资料档：3分</t>
        </is>
      </c>
      <c r="G174" s="0" t="inlineStr">
        <is>
          <t>等待时间、催办次数不增加分数</t>
        </is>
      </c>
      <c r="H174" s="0" t="inlineStr">
        <is>
          <t>示例为负责人安排；自主发起仅计主动分</t>
        </is>
      </c>
    </row>
    <row r="175" ht="105" customHeight="1" s="39">
      <c r="A175" s="0" t="inlineStr">
        <is>
          <t>滞留库存处理</t>
        </is>
      </c>
      <c r="B175" s="0" t="inlineStr">
        <is>
          <t>申诉未解决，凭证完整且负责人确认阶段结案</t>
        </is>
      </c>
      <c r="C175" s="0" t="n">
        <v>3</v>
      </c>
      <c r="D175" s="0" t="n">
        <v>1</v>
      </c>
      <c r="E175" s="0">
        <f>ROUND(C175*D175,1)</f>
        <v/>
      </c>
      <c r="F175" s="0" t="inlineStr">
        <is>
          <t>按申诉任务阶段验收</t>
        </is>
      </c>
      <c r="G175" s="0" t="inlineStr">
        <is>
          <t>保留未解决状态及后续安排，不标成已解决</t>
        </is>
      </c>
      <c r="H175" s="0" t="inlineStr">
        <is>
          <t>示例为负责人安排；自主发起仅计主动分</t>
        </is>
      </c>
    </row>
    <row r="178" ht="30" customHeight="1" s="39">
      <c r="A178" s="0" t="inlineStr">
        <is>
          <t>Listing异常申诉与Case处理：每个ASIN 4分</t>
        </is>
      </c>
    </row>
    <row r="179" ht="34" customHeight="1" s="39">
      <c r="A179" s="0" t="inlineStr">
        <is>
          <t>工作项目</t>
        </is>
      </c>
      <c r="B179" s="0" t="inlineStr">
        <is>
          <t>实际场景</t>
        </is>
      </c>
      <c r="C179" s="0" t="inlineStr">
        <is>
          <t>累计基础分</t>
        </is>
      </c>
      <c r="D179" s="0" t="inlineStr">
        <is>
          <t>难度系数</t>
        </is>
      </c>
      <c r="E179" s="0" t="inlineStr">
        <is>
          <t>任务积分</t>
        </is>
      </c>
      <c r="F179" s="0" t="inlineStr">
        <is>
          <t>计算依据</t>
        </is>
      </c>
      <c r="G179" s="0" t="inlineStr">
        <is>
          <t>结算说明</t>
        </is>
      </c>
      <c r="H179" s="0" t="inlineStr">
        <is>
          <t>备注</t>
        </is>
      </c>
    </row>
    <row r="180" ht="105" customHeight="1" s="39">
      <c r="A180" s="0" t="inlineStr">
        <is>
          <t>Listing异常申诉与Case处理</t>
        </is>
      </c>
      <c r="B180" s="0" t="inlineStr">
        <is>
          <t>1个ASIN同一异常，多次Appeal或Case后完成处理</t>
        </is>
      </c>
      <c r="C180" s="0" t="n">
        <v>4</v>
      </c>
      <c r="D180" s="0" t="n">
        <v>1</v>
      </c>
      <c r="E180" s="0">
        <f>ROUND(C180*D180,1)</f>
        <v/>
      </c>
      <c r="F180" s="0" t="inlineStr">
        <is>
          <t>1×4分</t>
        </is>
      </c>
      <c r="G180" s="0" t="inlineStr">
        <is>
          <t>不按Case数量加分</t>
        </is>
      </c>
      <c r="H180" s="0" t="inlineStr">
        <is>
          <t>负责人安排的任务示例；自主发起仅计主动分</t>
        </is>
      </c>
    </row>
    <row r="181" ht="105" customHeight="1" s="39">
      <c r="A181" s="0" t="inlineStr">
        <is>
          <t>Listing异常申诉与Case处理</t>
        </is>
      </c>
      <c r="B181" s="0" t="inlineStr">
        <is>
          <t>5个ASIN共用一个Case，逐个完成处理及核验</t>
        </is>
      </c>
      <c r="C181" s="0" t="n">
        <v>20</v>
      </c>
      <c r="D181" s="0" t="n">
        <v>1</v>
      </c>
      <c r="E181" s="0">
        <f>ROUND(C181*D181,1)</f>
        <v/>
      </c>
      <c r="F181" s="0" t="inlineStr">
        <is>
          <t>5×4分</t>
        </is>
      </c>
      <c r="G181" s="0" t="inlineStr">
        <is>
          <t>保留每个ASIN的处理结果</t>
        </is>
      </c>
      <c r="H181" s="0" t="inlineStr">
        <is>
          <t>负责人安排的任务示例；自主发起仅计主动分</t>
        </is>
      </c>
    </row>
    <row r="182" ht="105" customHeight="1" s="39">
      <c r="A182" s="0" t="inlineStr">
        <is>
          <t>Listing异常申诉与Case处理</t>
        </is>
      </c>
      <c r="B182" s="0" t="inlineStr">
        <is>
          <t>1个ASIN未恢复，记录完整且负责人确认阶段结案</t>
        </is>
      </c>
      <c r="C182" s="0" t="n">
        <v>4</v>
      </c>
      <c r="D182" s="0" t="n">
        <v>1</v>
      </c>
      <c r="E182" s="0">
        <f>ROUND(C182*D182,1)</f>
        <v/>
      </c>
      <c r="F182" s="0" t="inlineStr">
        <is>
          <t>按该ASIN阶段验收</t>
        </is>
      </c>
      <c r="G182" s="0" t="inlineStr">
        <is>
          <t>保留未恢复状态，之后恢复不重复计分</t>
        </is>
      </c>
      <c r="H182" s="0" t="inlineStr">
        <is>
          <t>负责人安排的任务示例；自主发起仅计主动分</t>
        </is>
      </c>
    </row>
    <row r="183" ht="105" customHeight="1" s="39">
      <c r="A183" s="0" t="inlineStr">
        <is>
          <t>Listing异常申诉与Case处理</t>
        </is>
      </c>
      <c r="B183" s="0" t="inlineStr">
        <is>
          <t>同一异常已按滞留库存、Buy Box或变体关系维护计分</t>
        </is>
      </c>
      <c r="C183" s="0" t="n">
        <v>0</v>
      </c>
      <c r="D183" s="0" t="n">
        <v>1</v>
      </c>
      <c r="E183" s="0">
        <f>ROUND(C183*D183,1)</f>
        <v/>
      </c>
      <c r="F183" s="0" t="inlineStr">
        <is>
          <t>本项不再计分</t>
        </is>
      </c>
      <c r="G183" s="0" t="inlineStr">
        <is>
          <t>只选择一个主任务项目</t>
        </is>
      </c>
      <c r="H183" s="0" t="inlineStr">
        <is>
          <t>负责人安排的任务示例；自主发起仅计主动分</t>
        </is>
      </c>
    </row>
    <row r="186" ht="30" customHeight="1" s="39">
      <c r="A186" s="0" t="inlineStr">
        <is>
          <t>Brand Store按二级类目计分：商品2分、模块5分；范围外原有提交报错3分/提交任务</t>
        </is>
      </c>
    </row>
    <row r="187" ht="34" customHeight="1" s="39">
      <c r="A187" s="0" t="inlineStr">
        <is>
          <t>工作项目</t>
        </is>
      </c>
      <c r="B187" s="0" t="inlineStr">
        <is>
          <t>实际场景</t>
        </is>
      </c>
      <c r="C187" s="0" t="inlineStr">
        <is>
          <t>累计基础分</t>
        </is>
      </c>
      <c r="D187" s="0" t="inlineStr">
        <is>
          <t>难度系数</t>
        </is>
      </c>
      <c r="E187" s="0" t="inlineStr">
        <is>
          <t>任务积分</t>
        </is>
      </c>
      <c r="F187" s="0" t="inlineStr">
        <is>
          <t>计算依据</t>
        </is>
      </c>
      <c r="G187" s="0" t="inlineStr">
        <is>
          <t>结算说明</t>
        </is>
      </c>
      <c r="H187" s="0" t="inlineStr">
        <is>
          <t>备注</t>
        </is>
      </c>
    </row>
    <row r="188" ht="120" customHeight="1" s="39">
      <c r="A188" s="0" t="inlineStr">
        <is>
          <t>Brand Store 二级类目商品维护</t>
        </is>
      </c>
      <c r="B188" s="0" t="inlineStr">
        <is>
          <t>1/2英寸尺寸类目原有模块中加入10个新品</t>
        </is>
      </c>
      <c r="C188" s="0" t="n">
        <v>2</v>
      </c>
      <c r="D188" s="0" t="n">
        <v>1</v>
      </c>
      <c r="E188" s="0">
        <f>ROUND(C188*D188,1)</f>
        <v/>
      </c>
      <c r="F188" s="0" t="inlineStr">
        <is>
          <t>1个二级类目×2分</t>
        </is>
      </c>
      <c r="G188" s="0" t="inlineStr">
        <is>
          <t>不按SKU数量增加</t>
        </is>
      </c>
      <c r="H188" s="0" t="inlineStr">
        <is>
          <t>负责人安排的任务示例；自主发起只计主动分</t>
        </is>
      </c>
    </row>
    <row r="189" ht="120" customHeight="1" s="39">
      <c r="A189" s="0" t="inlineStr">
        <is>
          <t>Brand Store 二级类目商品维护</t>
        </is>
      </c>
      <c r="B189" s="0" t="inlineStr">
        <is>
          <t>1/2英寸与3/4英寸两个类目分别增删商品</t>
        </is>
      </c>
      <c r="C189" s="0" t="n">
        <v>4</v>
      </c>
      <c r="D189" s="0" t="n">
        <v>1</v>
      </c>
      <c r="E189" s="0">
        <f>ROUND(C189*D189,1)</f>
        <v/>
      </c>
      <c r="F189" s="0" t="inlineStr">
        <is>
          <t>2个二级类目×2分</t>
        </is>
      </c>
      <c r="G189" s="0" t="inlineStr">
        <is>
          <t>记录两条实际类目路径</t>
        </is>
      </c>
      <c r="H189" s="0" t="inlineStr">
        <is>
          <t>负责人安排的任务示例；自主发起只计主动分</t>
        </is>
      </c>
    </row>
    <row r="190" ht="120" customHeight="1" s="39">
      <c r="A190" s="0" t="inlineStr">
        <is>
          <t>Brand Store 二级类目模块新增或重建</t>
        </is>
      </c>
      <c r="B190" s="0" t="inlineStr">
        <is>
          <t>1/2英寸类目重建模块并配置商品</t>
        </is>
      </c>
      <c r="C190" s="0" t="n">
        <v>5</v>
      </c>
      <c r="D190" s="0" t="n">
        <v>1</v>
      </c>
      <c r="E190" s="0">
        <f>ROUND(C190*D190,1)</f>
        <v/>
      </c>
      <c r="F190" s="0" t="inlineStr">
        <is>
          <t>1个二级类目×5分</t>
        </is>
      </c>
      <c r="G190" s="0" t="inlineStr">
        <is>
          <t>不再叠加商品维护2分</t>
        </is>
      </c>
      <c r="H190" s="0" t="inlineStr">
        <is>
          <t>负责人安排的任务示例；自主发起只计主动分</t>
        </is>
      </c>
    </row>
    <row r="191" ht="120" customHeight="1" s="39">
      <c r="A191" s="0" t="inlineStr">
        <is>
          <t>Brand Store 二级类目模块新增或重建</t>
        </is>
      </c>
      <c r="B191" s="0" t="inlineStr">
        <is>
          <t>两个尺寸类目分别重建模块并配置商品</t>
        </is>
      </c>
      <c r="C191" s="0" t="n">
        <v>10</v>
      </c>
      <c r="D191" s="0" t="n">
        <v>1</v>
      </c>
      <c r="E191" s="0">
        <f>ROUND(C191*D191,1)</f>
        <v/>
      </c>
      <c r="F191" s="0" t="inlineStr">
        <is>
          <t>2个二级类目×5分</t>
        </is>
      </c>
      <c r="G191" s="0" t="inlineStr">
        <is>
          <t>同类目不按模块数量增加</t>
        </is>
      </c>
      <c r="H191" s="0" t="inlineStr">
        <is>
          <t>负责人安排的任务示例；自主发起只计主动分</t>
        </is>
      </c>
    </row>
    <row r="192" ht="120" customHeight="1" s="39">
      <c r="A192" s="0" t="inlineStr">
        <is>
          <t>Brand Store 商品维护＋提交阻断处理</t>
        </is>
      </c>
      <c r="B192" s="0" t="inlineStr">
        <is>
          <t>两个尺寸类目更新，另修复其他板块历史报错后提交</t>
        </is>
      </c>
      <c r="C192" s="0" t="n">
        <v>7</v>
      </c>
      <c r="D192" s="0" t="n">
        <v>1</v>
      </c>
      <c r="E192" s="0">
        <f>ROUND(C192*D192,1)</f>
        <v/>
      </c>
      <c r="F192" s="0" t="inlineStr">
        <is>
          <t>2×2＋3＝7分</t>
        </is>
      </c>
      <c r="G192" s="0" t="inlineStr">
        <is>
          <t>同次提交多个报错只计一次3分</t>
        </is>
      </c>
      <c r="H192" s="0" t="inlineStr">
        <is>
          <t>负责人安排的任务示例；自主发起只计主动分</t>
        </is>
      </c>
    </row>
    <row r="193" ht="120" customHeight="1" s="39">
      <c r="A193" s="0" t="inlineStr">
        <is>
          <t>Brand Store 二级类目商品维护</t>
        </is>
      </c>
      <c r="B193" s="0" t="inlineStr">
        <is>
          <t>两个尺寸类目更新，修复本人本次造成的报错</t>
        </is>
      </c>
      <c r="C193" s="0" t="n">
        <v>4</v>
      </c>
      <c r="D193" s="0" t="n">
        <v>1</v>
      </c>
      <c r="E193" s="0">
        <f>ROUND(C193*D193,1)</f>
        <v/>
      </c>
      <c r="F193" s="0" t="inlineStr">
        <is>
          <t>2×2＝4分</t>
        </is>
      </c>
      <c r="G193" s="0" t="inlineStr">
        <is>
          <t>自身返工不增加阻断处理分</t>
        </is>
      </c>
      <c r="H193" s="0" t="inlineStr">
        <is>
          <t>负责人安排的任务示例；自主发起只计主动分</t>
        </is>
      </c>
    </row>
    <row r="196">
      <c r="A196" s="47" t="inlineStr">
        <is>
          <t>防重复计分速查：常见场景判定</t>
        </is>
      </c>
    </row>
    <row r="197">
      <c r="A197" s="48" t="inlineStr">
        <is>
          <t>序号</t>
        </is>
      </c>
      <c r="B197" s="48" t="inlineStr">
        <is>
          <t>场景描述</t>
        </is>
      </c>
      <c r="C197" s="48" t="inlineStr">
        <is>
          <t>正确计分</t>
        </is>
      </c>
      <c r="D197" s="48" t="inlineStr">
        <is>
          <t>错误计分</t>
        </is>
      </c>
      <c r="E197" s="48" t="inlineStr">
        <is>
          <t>判定依据</t>
        </is>
      </c>
      <c r="F197" s="48" t="inlineStr">
        <is>
          <t>所在规则</t>
        </is>
      </c>
      <c r="G197" s="48" t="inlineStr"/>
      <c r="H197" s="48" t="inlineStr"/>
    </row>
    <row r="198">
      <c r="A198" s="49" t="n">
        <v>1</v>
      </c>
      <c r="B198" s="49" t="inlineStr">
        <is>
          <t>A+完全重做后，是否可同时计"A+制作发布10分"和"A+全新重做10分"？</t>
        </is>
      </c>
      <c r="C198" s="49" t="inlineStr">
        <is>
          <t>只计一次10分</t>
        </is>
      </c>
      <c r="D198" s="49" t="inlineStr">
        <is>
          <t>叠加计20分</t>
        </is>
      </c>
      <c r="E198" s="49" t="inlineStr">
        <is>
          <t>同一成果只计一次</t>
        </is>
      </c>
      <c r="F198" s="49" t="inlineStr">
        <is>
          <t>任务评分·A+制作发布</t>
        </is>
      </c>
    </row>
    <row r="199">
      <c r="A199" s="49" t="n">
        <v>2</v>
      </c>
      <c r="B199" s="49" t="inlineStr">
        <is>
          <t>同一电压错误出现在标题、五点和A+三个位置</t>
        </is>
      </c>
      <c r="C199" s="49" t="inlineStr">
        <is>
          <t>修正全部位置，共2分</t>
        </is>
      </c>
      <c r="D199" s="49" t="inlineStr">
        <is>
          <t>按位置分别计3×2=6分</t>
        </is>
      </c>
      <c r="E199" s="49" t="inlineStr">
        <is>
          <t>同源错误合并为1个错误点</t>
        </is>
      </c>
      <c r="F199" s="49" t="inlineStr">
        <is>
          <t>任务评分·Listing纠错</t>
        </is>
      </c>
    </row>
    <row r="200">
      <c r="A200" s="49" t="n">
        <v>3</v>
      </c>
      <c r="B200" s="49" t="inlineStr">
        <is>
          <t>员工自主发现价格异常并修正，是否同时计任务分和主动分？</t>
        </is>
      </c>
      <c r="C200" s="49" t="inlineStr">
        <is>
          <t>只计主动改善分（2/4/6分档）</t>
        </is>
      </c>
      <c r="D200" s="49" t="inlineStr">
        <is>
          <t>任务分3分＋主动分4分</t>
        </is>
      </c>
      <c r="E200" s="49" t="inlineStr">
        <is>
          <t>发起来源互斥：自主发起只走主动分</t>
        </is>
      </c>
      <c r="F200" s="49" t="inlineStr">
        <is>
          <t>主动改善评价·二</t>
        </is>
      </c>
    </row>
    <row r="201">
      <c r="A201" s="49" t="n">
        <v>4</v>
      </c>
      <c r="B201" s="49" t="inlineStr">
        <is>
          <t>员工先提出建议，经负责人批准后建立任务执行</t>
        </is>
      </c>
      <c r="C201" s="49" t="inlineStr">
        <is>
          <t>只计主动改善分</t>
        </is>
      </c>
      <c r="D201" s="49" t="inlineStr">
        <is>
          <t>计任务积分</t>
        </is>
      </c>
      <c r="E201" s="49" t="inlineStr">
        <is>
          <t>先提出即属主动发起，补建任务不改变来源</t>
        </is>
      </c>
      <c r="F201" s="49" t="inlineStr">
        <is>
          <t>主动改善评价·A17</t>
        </is>
      </c>
    </row>
    <row r="202">
      <c r="A202" s="49" t="n">
        <v>5</v>
      </c>
      <c r="B202" s="49" t="inlineStr">
        <is>
          <t>同一滞留库存问题先Relist再申诉</t>
        </is>
      </c>
      <c r="C202" s="49" t="inlineStr">
        <is>
          <t>合计3分（取最高档）</t>
        </is>
      </c>
      <c r="D202" s="49" t="inlineStr">
        <is>
          <t>移除2分＋申诉3分＝5分</t>
        </is>
      </c>
      <c r="E202" s="49" t="inlineStr">
        <is>
          <t>同一问题连续处理只取最高分</t>
        </is>
      </c>
      <c r="F202" s="49" t="inlineStr">
        <is>
          <t>任务评分·滞留库存</t>
        </is>
      </c>
    </row>
    <row r="203">
      <c r="A203" s="49" t="n">
        <v>6</v>
      </c>
      <c r="B203" s="49" t="inlineStr">
        <is>
          <t>上架组包含5个SKU，OA记录5条</t>
        </is>
      </c>
      <c r="C203" s="49" t="inlineStr">
        <is>
          <t>按组总分计（如8×1.3=10.4分）</t>
        </is>
      </c>
      <c r="D203" s="49" t="inlineStr">
        <is>
          <t>5条OA各计5分＝25分</t>
        </is>
      </c>
      <c r="E203" s="49" t="inlineStr">
        <is>
          <t>以执行组为单位，OA分摊组总分</t>
        </is>
      </c>
      <c r="F203" s="49" t="inlineStr">
        <is>
          <t>场景示例·上架组</t>
        </is>
      </c>
    </row>
    <row r="204">
      <c r="A204" s="49" t="n">
        <v>7</v>
      </c>
      <c r="B204" s="49" t="inlineStr">
        <is>
          <t>5个SKU共用同一份新A+</t>
        </is>
      </c>
      <c r="C204" s="49" t="inlineStr">
        <is>
          <t>1份×10分＝10分</t>
        </is>
      </c>
      <c r="D204" s="49" t="inlineStr">
        <is>
          <t>5×10分＝50分</t>
        </is>
      </c>
      <c r="E204" s="49" t="inlineStr">
        <is>
          <t>共用同一份内容只计一份</t>
        </is>
      </c>
      <c r="F204" s="49" t="inlineStr">
        <is>
          <t>任务评分·A+制作发布</t>
        </is>
      </c>
    </row>
    <row r="205">
      <c r="A205" s="49" t="n">
        <v>8</v>
      </c>
      <c r="B205" s="49" t="inlineStr">
        <is>
          <t>同一份A+同一轮修改了6个模块</t>
        </is>
      </c>
      <c r="C205" s="49" t="inlineStr">
        <is>
          <t>封顶10分</t>
        </is>
      </c>
      <c r="D205" s="49" t="inlineStr">
        <is>
          <t>6×2分＝12分</t>
        </is>
      </c>
      <c r="E205" s="49" t="inlineStr">
        <is>
          <t>同份同轮累计最高10分</t>
        </is>
      </c>
      <c r="F205" s="49" t="inlineStr">
        <is>
          <t>任务评分·A+增删修改</t>
        </is>
      </c>
    </row>
    <row r="206">
      <c r="A206" s="49" t="n">
        <v>9</v>
      </c>
      <c r="B206" s="49" t="inlineStr">
        <is>
          <t>Buy Box异常多次开Case后恢复</t>
        </is>
      </c>
      <c r="C206" s="49" t="inlineStr">
        <is>
          <t>合计3分</t>
        </is>
      </c>
      <c r="D206" s="49" t="inlineStr">
        <is>
          <t>按Case数量计分</t>
        </is>
      </c>
      <c r="E206" s="49" t="inlineStr">
        <is>
          <t>同一任务合并计分，不按Case数量加</t>
        </is>
      </c>
      <c r="F206" s="49" t="inlineStr">
        <is>
          <t>任务评分·Buy Box</t>
        </is>
      </c>
    </row>
    <row r="207">
      <c r="A207" s="49" t="n">
        <v>10</v>
      </c>
      <c r="B207" s="49" t="inlineStr">
        <is>
          <t>同一Listing标题在复盘前又做了一次优化修改</t>
        </is>
      </c>
      <c r="C207" s="49" t="inlineStr">
        <is>
          <t>并入原任务，不新增分</t>
        </is>
      </c>
      <c r="D207" s="49" t="inlineStr">
        <is>
          <t>新建优化任务再计2分</t>
        </is>
      </c>
      <c r="E207" s="49" t="inlineStr">
        <is>
          <t>同模块复盘前追加并入，不重复</t>
        </is>
      </c>
      <c r="F207" s="49" t="inlineStr">
        <is>
          <t>优化登记与复盘规则</t>
        </is>
      </c>
    </row>
    <row r="208">
      <c r="A208" s="49" t="n">
        <v>11</v>
      </c>
      <c r="B208" s="49" t="inlineStr">
        <is>
          <t>创建1个SP Campaign产生多条Ads Change记录</t>
        </is>
      </c>
      <c r="C208" s="49" t="inlineStr">
        <is>
          <t>只计一次3分</t>
        </is>
      </c>
      <c r="D208" s="49" t="inlineStr">
        <is>
          <t>按Ads Change条数计分</t>
        </is>
      </c>
      <c r="E208" s="49" t="inlineStr">
        <is>
          <t>以Campaign ID去重</t>
        </is>
      </c>
      <c r="F208" s="49" t="inlineStr">
        <is>
          <t>任务评分·SP广告创建</t>
        </is>
      </c>
    </row>
    <row r="209">
      <c r="A209" s="49" t="n">
        <v>12</v>
      </c>
      <c r="B209" s="49" t="inlineStr">
        <is>
          <t>纠错修复的是自己上次操作造成的错误</t>
        </is>
      </c>
      <c r="C209" s="49" t="inlineStr">
        <is>
          <t>不新增任务积分或主动分</t>
        </is>
      </c>
      <c r="D209" s="49" t="inlineStr">
        <is>
          <t>计纠错2分/错误点</t>
        </is>
      </c>
      <c r="E209" s="49" t="inlineStr">
        <is>
          <t>修复本人错误属于返工</t>
        </is>
      </c>
      <c r="F209" s="49" t="inlineStr">
        <is>
          <t>运营工作明细·Listing纠错</t>
        </is>
      </c>
    </row>
  </sheetData>
  <mergeCells count="14">
    <mergeCell ref="A70:H70"/>
    <mergeCell ref="A143:H143"/>
    <mergeCell ref="A109:H109"/>
    <mergeCell ref="A87:H87"/>
    <mergeCell ref="A134:H134"/>
    <mergeCell ref="A186:H186"/>
    <mergeCell ref="A196:H196"/>
    <mergeCell ref="A160:H160"/>
    <mergeCell ref="A117:H117"/>
    <mergeCell ref="A98:H98"/>
    <mergeCell ref="A151:H151"/>
    <mergeCell ref="A178:H178"/>
    <mergeCell ref="A126:H126"/>
    <mergeCell ref="A168:H168"/>
  </mergeCells>
  <dataValidations count="3">
    <dataValidation sqref="C8:C20" showDropDown="0" showInputMessage="0" showErrorMessage="0" allowBlank="0" type="decimal" operator="between">
      <formula1>0</formula1>
      <formula2>1000</formula2>
    </dataValidation>
    <dataValidation sqref="C44:C47" showDropDown="0" showInputMessage="0" showErrorMessage="0" allowBlank="0" type="whole" operator="between">
      <formula1>1</formula1>
      <formula2>100000</formula2>
    </dataValidation>
    <dataValidation sqref="D8:D20 E44:E47" showDropDown="0" showInputMessage="0" showErrorMessage="0" allowBlank="0" type="list">
      <formula1>"1,1.3,1.6"</formula1>
    </dataValidation>
  </dataValidations>
  <pageMargins left="0.7" right="0.7" top="0.75" bottom="0.75" header="0.3" footer="0.3"/>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5.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activeCell="A1" sqref="A1"/>
      <selection pane="bottomLeft" activeCell="A1" sqref="A1"/>
    </sheetView>
  </sheetViews>
  <sheetFormatPr baseColWidth="8" defaultColWidth="9" defaultRowHeight="13.5"/>
  <cols>
    <col width="24" customWidth="1" style="39" min="1" max="1"/>
    <col width="115" customWidth="1" style="39" min="2" max="2"/>
  </cols>
  <sheetData>
    <row r="1" ht="32" customHeight="1" s="39">
      <c r="A1" s="2" t="inlineStr">
        <is>
          <t>规则项目</t>
        </is>
      </c>
      <c r="B1" s="2" t="inlineStr">
        <is>
          <t>执行标准（试行，可后续调整）</t>
        </is>
      </c>
    </row>
    <row r="2" ht="100" customHeight="1" s="39">
      <c r="A2" s="2" t="inlineStr">
        <is>
          <t>适用范围</t>
        </is>
      </c>
      <c r="B2" s="2" t="inlineStr">
        <is>
          <t>标题、五点、描述、Generic Keywords、A+全新重做，以及以优化为目的的A+内容增删修改。单纯事实纠错按Listing纠错计分；首次常规上架制作不强制套用优化效果复盘。</t>
        </is>
      </c>
    </row>
    <row r="3" ht="100" customHeight="1" s="39">
      <c r="A3" s="2" t="inlineStr">
        <is>
          <t>优化前登记</t>
        </is>
      </c>
      <c r="B3" s="2" t="inlineStr">
        <is>
          <t>登记任务编号、人员、站点、Listing/SKU或A+内容编号、具体问题、证据、拟修改模块、预期目标、预计积分及复盘日期。负责人确认后执行；主动提出的方案同样登记。</t>
        </is>
      </c>
    </row>
    <row r="4" ht="100" customHeight="1" s="39">
      <c r="A4" s="2" t="inlineStr">
        <is>
          <t>有效优化</t>
        </is>
      </c>
      <c r="B4" s="2" t="inlineStr">
        <is>
          <t>必须针对具体问题进行实质改进。无依据地换同义词、调整语序、反复恢复旧版等，不作为新优化任务计分。资料修正属于纠错时按纠错规则。</t>
        </is>
      </c>
    </row>
    <row r="5" ht="100" customHeight="1" s="39">
      <c r="A5" s="2" t="inlineStr">
        <is>
          <t>计分单位</t>
        </is>
      </c>
      <c r="B5" s="2" t="inlineStr">
        <is>
          <t>标题2分/个；五点2分/套（改1点或全部五点均2分）；描述2分/份；Generic Keywords 2分/套；独立全新或完全重做A+10分/份；部分A+2分/模块、每份每轮最高10分。系数均固定1.0。</t>
        </is>
      </c>
    </row>
    <row r="6" ht="100" customHeight="1" s="39">
      <c r="A6" s="2" t="inlineStr">
        <is>
          <t>复盘前合并</t>
        </is>
      </c>
      <c r="B6" s="2" t="inlineStr">
        <is>
          <t>同一站点、同一Listing的同一模块，或同一份共享A+，在上轮复盘完成前不得再领取该模块的新优化分。追加修改、调试、回滚、返工并入原任务；换OA编号、拆分五点、换人员或跨月不解除限制。</t>
        </is>
      </c>
    </row>
    <row r="7" ht="100" customHeight="1" s="39">
      <c r="A7" s="2" t="inlineStr">
        <is>
          <t>不同模块</t>
        </is>
      </c>
      <c r="B7" s="2" t="inlineStr">
        <is>
          <t>同一Listing的其他模块有独立问题和目标时可以纳入当前方案，按实际模块计一次。共同优化尽量一次登记、统一复盘，不把连续修改拆成多轮领取分数。</t>
        </is>
      </c>
    </row>
    <row r="8" ht="100" customHeight="1" s="39">
      <c r="A8" s="2" t="inlineStr">
        <is>
          <t>复盘时间</t>
        </is>
      </c>
      <c r="B8" s="2" t="inlineStr">
        <is>
          <t>试行默认：内容实际生效后14天复盘。登记生效日、观察区间及到期日；数据不足可记录原因和新日期继续观察。不能仅凭等待满14天认定完成复盘。</t>
        </is>
      </c>
    </row>
    <row r="9" ht="100" customHeight="1" s="39">
      <c r="A9" s="2" t="inlineStr">
        <is>
          <t>复盘内容</t>
        </is>
      </c>
      <c r="B9" s="2" t="inlineStr">
        <is>
          <t>核对原问题是否改善，提供修改前后内容及可获得的相关数据，注明价格、广告、库存等同期变化，形成保留、调整、回滚或继续观察的结论。结论为继续观察时保持待复盘。</t>
        </is>
      </c>
    </row>
    <row r="10" ht="100" customHeight="1" s="39">
      <c r="A10" s="2" t="inlineStr">
        <is>
          <t>积分结算</t>
        </is>
      </c>
      <c r="B10" s="2" t="inlineStr">
        <is>
          <t>负责人安排的优化先登记预计任务积分，内容发布核验且复盘形成结论后结算；自主发起改善只按主动改善等级认定。结果未增长不自动判零分，按依据、实际交付及复盘验收；同一工作不跨两条路径重复计分。</t>
        </is>
      </c>
    </row>
    <row r="11" ht="100" customHeight="1" s="39">
      <c r="A11" s="2" t="inlineStr">
        <is>
          <t>允许下一轮的条件</t>
        </is>
      </c>
      <c r="B11" s="2" t="inlineStr">
        <is>
          <t>上一轮已完成复盘，且出现新证据、新问题或经确认的新目标，才能建立新的计分优化任务。完成复盘本身不是再次领取分数的依据。</t>
        </is>
      </c>
    </row>
    <row r="12" ht="100" customHeight="1" s="39">
      <c r="A12" s="2" t="inlineStr">
        <is>
          <t>紧急纠错</t>
        </is>
      </c>
      <c r="B12" s="2" t="inlineStr">
        <is>
          <t>发现事实、合规或展示错误应及时纠正，不因等待复盘而延误。由本人上次操作造成的错误属于返工，不新增任务积分或主动改善分。</t>
        </is>
      </c>
    </row>
    <row r="13" ht="100" customHeight="1" s="39">
      <c r="A13" s="2" t="inlineStr">
        <is>
          <t>避免交叉重复</t>
        </is>
      </c>
      <c r="B13" s="2" t="inlineStr">
        <is>
          <t>同一A+重做只在一个工作项目领取10分；同一纠错不再领取优化或图片修改分。共享A+按内容编号管理，不因绑定多个SKU重复领取内容制作或模块修改分。</t>
        </is>
      </c>
    </row>
    <row r="14" ht="100" customHeight="1" s="39">
      <c r="A14" s="2" t="inlineStr">
        <is>
          <t>主动改善衔接</t>
        </is>
      </c>
      <c r="B14" s="2" t="inlineStr">
        <is>
          <t>按实际发起来源选择唯一计分路径：负责人安排的工作计任务积分；员工自主发现并发起的改善仅按主动改善2/4/6分档认定，不再叠加任务积分。员工先提出建议、经负责人批准后执行，仍属主动改善；补建任务或认领变化不改变来源。 月度绩效仍为任务完成最高80分＋主动改善最高20分。</t>
        </is>
      </c>
    </row>
    <row r="15" ht="100" customHeight="1" s="39">
      <c r="A15" s="2" t="inlineStr">
        <is>
          <t>台账字段</t>
        </is>
      </c>
      <c r="B15" s="2" t="inlineStr">
        <is>
          <t>任务编号｜人员｜站点｜Listing/SKU或内容编号｜优化模块｜问题与证据｜预期目标｜修改前后内容｜预计积分｜实际生效日｜计划复盘日｜状态｜复盘证据与结论｜实际结算分｜结算月｜关联主动改善编号。</t>
        </is>
      </c>
    </row>
    <row r="16" ht="100" customHeight="1" s="39">
      <c r="A16" s="2" t="inlineStr">
        <is>
          <t>状态流转</t>
        </is>
      </c>
      <c r="B16" s="2" t="inlineStr">
        <is>
          <t>待确认 → 执行中 → 待生效核验 → 待复盘 → 已完成/已结算。数据不足记录延期；复盘未完成不建立同模块的新计分任务。</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G23"/>
  <sheetViews>
    <sheetView workbookViewId="0">
      <pane ySplit="5" topLeftCell="A6" activePane="bottomLeft" state="frozen"/>
      <selection activeCell="A1" sqref="A1"/>
      <selection pane="bottomLeft" activeCell="A1" sqref="A1:G1"/>
    </sheetView>
  </sheetViews>
  <sheetFormatPr baseColWidth="8" defaultColWidth="9" defaultRowHeight="13.5"/>
  <cols>
    <col width="22" customWidth="1" style="39" min="1" max="1"/>
    <col width="10" customWidth="1" style="39" min="2" max="2"/>
    <col width="43" customWidth="1" style="39" min="3" max="3"/>
    <col width="65" customWidth="1" style="39" min="4" max="4"/>
    <col width="55" customWidth="1" style="39" min="5" max="5"/>
    <col width="53" customWidth="1" style="39" min="6" max="6"/>
    <col width="55" customWidth="1" style="39" min="7" max="7"/>
  </cols>
  <sheetData>
    <row r="1" ht="35" customHeight="1" s="39">
      <c r="A1" s="1" t="inlineStr">
        <is>
          <t>原Campaign分类计分规则已停用</t>
        </is>
      </c>
    </row>
    <row r="2" ht="65" customHeight="1" s="39">
      <c r="A2" s="2" t="inlineStr">
        <is>
          <t>该独立计分项已删除；本页原每类2分、每轮最高10分及自然周计分规则不再适用。现行计分以任务评分及主动改善评价为准。</t>
        </is>
      </c>
    </row>
    <row r="3" ht="65" customHeight="1" s="39">
      <c r="A3" s="2" t="n"/>
    </row>
    <row r="4" ht="13.85" customHeight="1" s="39">
      <c r="A4" s="50" t="inlineStr">
        <is>
          <t>本表已于2026年9月归档。现行计分以"任务评分"及"主动改善评价"为准。保留仅供历史参考。</t>
        </is>
      </c>
      <c r="B4" s="2" t="n"/>
      <c r="C4" s="2" t="n"/>
      <c r="D4" s="2" t="n"/>
      <c r="E4" s="2" t="n"/>
      <c r="F4" s="2" t="n"/>
      <c r="G4" s="2" t="n"/>
    </row>
    <row r="5" ht="34" customHeight="1" s="39">
      <c r="A5" s="1" t="n"/>
      <c r="B5" s="1" t="n"/>
      <c r="C5" s="1" t="n"/>
      <c r="D5" s="1" t="n"/>
      <c r="E5" s="1" t="n"/>
      <c r="F5" s="1" t="n"/>
      <c r="G5" s="1" t="n"/>
    </row>
    <row r="6" ht="250" customHeight="1" s="39">
      <c r="A6" s="2" t="n"/>
      <c r="B6" s="3" t="n"/>
      <c r="C6" s="2" t="n"/>
      <c r="D6" s="2" t="n"/>
      <c r="E6" s="2" t="n"/>
      <c r="F6" s="2" t="n"/>
      <c r="G6" s="2" t="n"/>
    </row>
    <row r="7" ht="230" customHeight="1" s="39">
      <c r="A7" s="2" t="n"/>
      <c r="B7" s="3" t="n"/>
      <c r="C7" s="2" t="n"/>
      <c r="D7" s="2" t="n"/>
      <c r="E7" s="2" t="n"/>
      <c r="F7" s="2" t="n"/>
      <c r="G7" s="2" t="n"/>
    </row>
    <row r="8" ht="230" customHeight="1" s="39">
      <c r="A8" s="2" t="n"/>
      <c r="B8" s="3" t="n"/>
      <c r="C8" s="2" t="n"/>
      <c r="D8" s="2" t="n"/>
      <c r="E8" s="2" t="n"/>
      <c r="F8" s="2" t="n"/>
      <c r="G8" s="2" t="n"/>
    </row>
    <row r="9" ht="230" customHeight="1" s="39">
      <c r="A9" s="2" t="n"/>
      <c r="B9" s="3" t="n"/>
      <c r="C9" s="2" t="n"/>
      <c r="D9" s="2" t="n"/>
      <c r="E9" s="2" t="n"/>
      <c r="F9" s="2" t="n"/>
      <c r="G9" s="2" t="n"/>
    </row>
    <row r="10" ht="230" customHeight="1" s="39">
      <c r="A10" s="2" t="n"/>
      <c r="B10" s="3" t="n"/>
      <c r="C10" s="2" t="n"/>
      <c r="D10" s="2" t="n"/>
      <c r="E10" s="2" t="n"/>
      <c r="F10" s="2" t="n"/>
      <c r="G10" s="2" t="n"/>
    </row>
    <row r="11" ht="13.85" customHeight="1" s="39">
      <c r="A11" s="2" t="n"/>
      <c r="B11" s="2" t="n"/>
      <c r="C11" s="2" t="n"/>
      <c r="D11" s="2" t="n"/>
      <c r="E11" s="2" t="n"/>
      <c r="F11" s="2" t="n"/>
      <c r="G11" s="2" t="n"/>
    </row>
    <row r="12" ht="13.85" customHeight="1" s="39">
      <c r="A12" s="2" t="n"/>
      <c r="B12" s="2" t="n"/>
      <c r="C12" s="2" t="n"/>
      <c r="D12" s="2" t="n"/>
      <c r="E12" s="2" t="n"/>
      <c r="F12" s="2" t="n"/>
      <c r="G12" s="2" t="n"/>
    </row>
    <row r="13" ht="30" customHeight="1" s="39">
      <c r="A13" s="1" t="n"/>
    </row>
    <row r="14" ht="120" customHeight="1" s="39">
      <c r="A14" s="2" t="n"/>
      <c r="C14" s="2" t="n"/>
    </row>
    <row r="15" ht="85" customHeight="1" s="39">
      <c r="A15" s="2" t="n"/>
      <c r="C15" s="2" t="n"/>
    </row>
    <row r="16" ht="65" customHeight="1" s="39">
      <c r="A16" s="2" t="n"/>
      <c r="C16" s="2" t="n"/>
    </row>
    <row r="17" ht="65" customHeight="1" s="39">
      <c r="A17" s="2" t="n"/>
      <c r="C17" s="2" t="n"/>
    </row>
    <row r="18" ht="65" customHeight="1" s="39">
      <c r="A18" s="2" t="n"/>
      <c r="C18" s="2" t="n"/>
    </row>
    <row r="19" ht="65" customHeight="1" s="39">
      <c r="A19" s="2" t="n"/>
      <c r="C19" s="2" t="n"/>
    </row>
    <row r="20" ht="85" customHeight="1" s="39">
      <c r="A20" s="2" t="n"/>
      <c r="C20" s="2" t="n"/>
    </row>
    <row r="21" ht="65" customHeight="1" s="39">
      <c r="A21" s="2" t="n"/>
      <c r="C21" s="2" t="n"/>
    </row>
    <row r="22" ht="100" customHeight="1" s="39">
      <c r="A22" s="2" t="n"/>
      <c r="C22" s="2" t="n"/>
    </row>
    <row r="23" ht="100" customHeight="1" s="39">
      <c r="A23" s="2" t="n"/>
      <c r="C23" s="2" t="n"/>
    </row>
  </sheetData>
  <mergeCells count="24">
    <mergeCell ref="A15:B15"/>
    <mergeCell ref="C15:G15"/>
    <mergeCell ref="C14:G14"/>
    <mergeCell ref="A13:G13"/>
    <mergeCell ref="A16:B16"/>
    <mergeCell ref="C20:G20"/>
    <mergeCell ref="C16:G16"/>
    <mergeCell ref="A18:B18"/>
    <mergeCell ref="C22:G22"/>
    <mergeCell ref="A21:B21"/>
    <mergeCell ref="C21:G21"/>
    <mergeCell ref="A1:G1"/>
    <mergeCell ref="A14:B14"/>
    <mergeCell ref="A23:B23"/>
    <mergeCell ref="A17:B17"/>
    <mergeCell ref="C23:G23"/>
    <mergeCell ref="A22:B22"/>
    <mergeCell ref="C17:G17"/>
    <mergeCell ref="A20:B20"/>
    <mergeCell ref="A3:G3"/>
    <mergeCell ref="A19:B19"/>
    <mergeCell ref="C19:G19"/>
    <mergeCell ref="A2:G2"/>
    <mergeCell ref="C18:G18"/>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2026-09-07T09:39:49Z</dcterms:created>
  <dcterms:modified xsi:type="dcterms:W3CDTF">2026-09-07T10:07:18Z</dcterms:modified>
  <cp:lastModifiedBy>陈张晶</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6CDC3AFD9A08429D88D6F6080E7F1305_12</vt:lpwstr>
  </property>
  <property name="KSOProductBuildVer" fmtid="{D5CDD505-2E9C-101B-9397-08002B2CF9AE}" pid="3">
    <vt:lpwstr>2052-12.1.0.26895</vt:lpwstr>
  </property>
  <property name="CalculationRule" fmtid="{D5CDD505-2E9C-101B-9397-08002B2CF9AE}" pid="4">
    <vt:i4>0</vt:i4>
  </property>
</Properties>
</file>