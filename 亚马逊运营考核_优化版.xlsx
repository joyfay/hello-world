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9369afffb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报酬" sheetId="1" r:id="Rffa2020b8aff4a25"/>
    <x:sheet xmlns:r="http://schemas.openxmlformats.org/officeDocument/2006/relationships" name="主动改善评价" sheetId="2" r:id="Ra51412b9a48048e2"/>
    <x:sheet xmlns:r="http://schemas.openxmlformats.org/officeDocument/2006/relationships" name="运营工作明细" sheetId="3" r:id="R961ff131a6e34de9"/>
    <x:sheet xmlns:r="http://schemas.openxmlformats.org/officeDocument/2006/relationships" name="广告优化规则" sheetId="4" r:id="R07b77a3c901c49de"/>
    <x:sheet xmlns:r="http://schemas.openxmlformats.org/officeDocument/2006/relationships" name="Listing异常合批规则" sheetId="5" r:id="R86c1b7839e864454"/>
    <x:sheet xmlns:r="http://schemas.openxmlformats.org/officeDocument/2006/relationships" name="临时任务金额档位" sheetId="6" r:id="Rd040da29fb714f22"/>
    <x:sheet xmlns:r="http://schemas.openxmlformats.org/officeDocument/2006/relationships" name="优化登记与复盘规则" sheetId="7" r:id="R52abbb8792dc46e7"/>
    <x:sheet xmlns:r="http://schemas.openxmlformats.org/officeDocument/2006/relationships" name="研发考核规则" sheetId="8" r:id="Rbaf191f5026048d7"/>
    <x:sheet xmlns:r="http://schemas.openxmlformats.org/officeDocument/2006/relationships" name="月度结算与参数" sheetId="9" r:id="R2869a79ea0bd4f00"/>
    <x:sheet xmlns:r="http://schemas.openxmlformats.org/officeDocument/2006/relationships" name="改善成果奖励" sheetId="10" r:id="Re797c126fddc425e"/>
    <x:sheet xmlns:r="http://schemas.openxmlformats.org/officeDocument/2006/relationships" name="系列开发计酬" sheetId="11" r:id="R9fe9392cf75841ca"/>
    <x:sheet xmlns:r="http://schemas.openxmlformats.org/officeDocument/2006/relationships" name="场景示例" sheetId="12" r:id="R936e71ca3ee9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##"/>
  </x:numFmts>
  <x:fonts count="5">
    <x:font>
      <x:sz val="11"/>
      <x:name val="Carlito"/>
    </x:font>
    <x:font>
      <x:b/>
      <x:sz val="14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54C6E"/>
      </x:patternFill>
    </x:fill>
    <x:fill>
      <x:patternFill patternType="solid">
        <x:fgColor rgb="FFF0F4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/>
    <x:xf numFmtId="0" fontId="2" fillId="0" borderId="0" xfId="0"/>
    <x:xf numFmtId="0" fontId="2" fillId="0" borderId="0" xfId="0" applyAlignment="1">
      <x:alignment wrapText="1"/>
    </x:xf>
    <x:xf numFmtId="0" fontId="2" fillId="0" borderId="0" xfId="0" applyAlignment="1">
      <x:alignment vertical="top" wrapText="1"/>
    </x:xf>
    <x:xf numFmtId="0" fontId="2" fillId="2" borderId="0" xfId="0" applyAlignment="1">
      <x:alignment vertical="top" wrapText="1"/>
    </x:xf>
    <x:xf numFmtId="0" fontId="3" fillId="2" borderId="0" xfId="0" applyAlignment="1">
      <x:alignment vertical="top" wrapText="1"/>
    </x:xf>
    <x:xf numFmtId="0" fontId="4" fillId="2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2" fillId="4" borderId="0" xfId="0" applyAlignment="1">
      <x:alignment vertical="top" wrapText="1"/>
    </x:xf>
    <x:xf numFmtId="164" fontId="2" fillId="4" borderId="0" xfId="0" applyAlignment="1">
      <x:alignment vertical="top" wrapText="1"/>
    </x:xf>
    <x:xf numFmtId="164" fontId="2" fillId="3" borderId="0" xfId="0" applyAlignment="1">
      <x:alignment vertical="top" wrapText="1"/>
    </x:xf>
    <x:xf numFmtId="164" fontId="2" fillId="0" borderId="0" xfId="0" applyAlignment="1">
      <x:alignment vertical="top" wrapText="1"/>
    </x:xf>
    <x:xf numFmtId="9" fontId="2" fillId="0" borderId="0" xfId="0" applyAlignment="1">
      <x:alignment vertical="top" wrapText="1"/>
    </x:xf>
    <x:xf numFmtId="164" fontId="2" fillId="4" borderId="0" xfId="0" applyAlignment="1">
      <x:alignment vertical="top" wrapText="1"/>
    </x:xf>
    <x:xf numFmtId="164" fontId="2" fillId="3" borderId="0" xfId="0" applyAlignment="1">
      <x:alignment vertical="top" wrapText="1"/>
    </x:xf>
    <x:xf numFmtId="164" fontId="2" fillId="0" borderId="0" xfId="0" applyAlignment="1">
      <x:alignment vertical="top" wrapText="1"/>
    </x:xf>
    <x:xf numFmtId="9" fontId="2" fillId="0" borderId="0" xfId="0" applyAlignment="1">
      <x:alignment vertical="top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f33dd24844e5c" /><Relationship Type="http://schemas.openxmlformats.org/officeDocument/2006/relationships/theme" Target="/xl/theme/theme1.xml" Id="R11c6d351c1a34e83" /><Relationship Type="http://schemas.openxmlformats.org/officeDocument/2006/relationships/sharedStrings" Target="/xl/sharedStrings.xml" Id="R62ece5bf120c4382" /><Relationship Type="http://schemas.openxmlformats.org/officeDocument/2006/relationships/worksheet" Target="/xl/worksheets/sheet1.xml" Id="Rffa2020b8aff4a25" /><Relationship Type="http://schemas.openxmlformats.org/officeDocument/2006/relationships/worksheet" Target="/xl/worksheets/sheet2.xml" Id="Ra51412b9a48048e2" /><Relationship Type="http://schemas.openxmlformats.org/officeDocument/2006/relationships/worksheet" Target="/xl/worksheets/sheet3.xml" Id="R961ff131a6e34de9" /><Relationship Type="http://schemas.openxmlformats.org/officeDocument/2006/relationships/worksheet" Target="/xl/worksheets/sheet4.xml" Id="R07b77a3c901c49de" /><Relationship Type="http://schemas.openxmlformats.org/officeDocument/2006/relationships/worksheet" Target="/xl/worksheets/sheet5.xml" Id="R86c1b7839e864454" /><Relationship Type="http://schemas.openxmlformats.org/officeDocument/2006/relationships/worksheet" Target="/xl/worksheets/sheet6.xml" Id="Rd040da29fb714f22" /><Relationship Type="http://schemas.openxmlformats.org/officeDocument/2006/relationships/worksheet" Target="/xl/worksheets/sheet7.xml" Id="R52abbb8792dc46e7" /><Relationship Type="http://schemas.openxmlformats.org/officeDocument/2006/relationships/worksheet" Target="/xl/worksheets/sheet8.xml" Id="Rbaf191f5026048d7" /><Relationship Type="http://schemas.openxmlformats.org/officeDocument/2006/relationships/worksheet" Target="/xl/worksheets/sheet9.xml" Id="R2869a79ea0bd4f00" /><Relationship Type="http://schemas.openxmlformats.org/officeDocument/2006/relationships/worksheet" Target="/xl/worksheets/sheet10.xml" Id="Re797c126fddc425e" /><Relationship Type="http://schemas.openxmlformats.org/officeDocument/2006/relationships/worksheet" Target="/xl/worksheets/sheet11.xml" Id="R9fe9392cf75841ca" /><Relationship Type="http://schemas.openxmlformats.org/officeDocument/2006/relationships/worksheet" Target="/xl/worksheets/sheet12.xml" Id="R936e71ca3ee94c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22" customWidth="1"/>
    <x:col min="2" max="2" width="18" customWidth="1"/>
    <x:col min="3" max="3" width="42" customWidth="1"/>
    <x:col min="4" max="4" width="15" customWidth="1"/>
    <x:col min="5" max="5" width="42" customWidth="1"/>
    <x:col min="6" max="6" width="60" customWidth="1"/>
    <x:col min="7" max="7" width="65" customWidth="1"/>
    <x:col min="8" max="8" width="42" customWidth="1"/>
    <x:col min="9" max="9" width="28" customWidth="1"/>
    <x:col min="10" max="10" width="30" customWidth="1"/>
    <x:col min="11" max="11" width="12" customWidth="1"/>
    <x:col min="12" max="12" width="20" customWidth="1"/>
  </x:cols>
  <x:sheetData>
    <x:row r="2" ht="28" customHeight="1">
      <x:c r="A2" s="1" t="inlineStr">
        <x:is>
          <x:t xml:space="preserve">运营任务报酬标准（人民币元）</x:t>
        </x:is>
      </x:c>
    </x:row>
    <x:row r="3" ht="23" customHeight="1">
      <x:c r="A3" s="2" t="inlineStr">
        <x:is>
          <x:t xml:space="preserve">2026-09-14修订：人民币直接计酬，任务单价不变；广告成果可累计升级补差。</x:t>
        </x:is>
      </x:c>
    </x:row>
    <x:row r="4" ht="23" customHeight="1">
      <x:c r="A4" s="2" t="inlineStr">
        <x:is>
          <x:t xml:space="preserve">普通开发及经营分析每项50元；广告调整与优化10/15/25/40/50/75元，受派和主动均×1。</x:t>
        </x:is>
      </x:c>
    </x:row>
    <x:row r="5" ht="23" customHeight="1">
      <x:c r="A5" s="2" t="inlineStr">
        <x:is>
          <x:t xml:space="preserve">主动报酬＝本档金额×主动倍率。先按实际计酬单位合批，再扣已付金额；共用工作只计一次。</x:t>
        </x:is>
      </x:c>
    </x:row>
    <x:row r="6" ht="23" customHeight="1">
      <x:c r="A6" s="2" t="inlineStr">
        <x:is>
          <x:t xml:space="preserve">黄色D列是直接金额标准；I列仅记录修改建议，不参与计算。修改金额时同步更新适用条件及示例。</x:t>
        </x:is>
      </x:c>
    </x:row>
    <x:row r="7" ht="48" customHeight="1">
      <x:c r="A7" s="7" t="inlineStr">
        <x:is>
          <x:t xml:space="preserve">项目编号</x:t>
        </x:is>
      </x:c>
      <x:c r="B7" s="7" t="inlineStr">
        <x:is>
          <x:t xml:space="preserve">分类</x:t>
        </x:is>
      </x:c>
      <x:c r="C7" s="7" t="inlineStr">
        <x:is>
          <x:t xml:space="preserve">工作项目及档位</x:t>
        </x:is>
      </x:c>
      <x:c r="D7" s="7" t="inlineStr">
        <x:is>
          <x:t xml:space="preserve">本档金额（元）</x:t>
        </x:is>
      </x:c>
      <x:c r="E7" s="7" t="inlineStr">
        <x:is>
          <x:t xml:space="preserve">计酬单位</x:t>
        </x:is>
      </x:c>
      <x:c r="F7" s="7" t="inlineStr">
        <x:is>
          <x:t xml:space="preserve">本档适用条件及交付要求</x:t>
        </x:is>
      </x:c>
      <x:c r="G7" s="7" t="inlineStr">
        <x:is>
          <x:t xml:space="preserve">合批、互斥及重复计酬规则</x:t>
        </x:is>
      </x:c>
      <x:c r="H7" s="7" t="inlineStr">
        <x:is>
          <x:t xml:space="preserve">定价说明</x:t>
        </x:is>
      </x:c>
      <x:c r="I7" s="7" t="inlineStr">
        <x:is>
          <x:t xml:space="preserve">你的调整建议</x:t>
        </x:is>
      </x:c>
      <x:c r="J7" s="7" t="inlineStr">
        <x:is>
          <x:t xml:space="preserve">主动分类</x:t>
        </x:is>
      </x:c>
      <x:c r="K7" s="7" t="inlineStr">
        <x:is>
          <x:t xml:space="preserve">主动倍率</x:t>
        </x:is>
      </x:c>
      <x:c r="L7" s="7" t="inlineStr">
        <x:is>
          <x:t xml:space="preserve">本档主动报酬（元）</x:t>
        </x:is>
      </x:c>
    </x:row>
    <x:row r="8" ht="85" customHeight="1">
      <x:c r="A8" s="8" t="inlineStr">
        <x:is>
          <x:t xml:space="preserve">P001</x:t>
        </x:is>
      </x:c>
      <x:c r="B8" s="8" t="inlineStr">
        <x:is>
          <x:t xml:space="preserve">新品上架</x:t>
        </x:is>
      </x:c>
      <x:c r="C8" s="8" t="inlineStr">
        <x:is>
          <x:t xml:space="preserve">Listing创建</x:t>
        </x:is>
      </x:c>
      <x:c r="D8" s="14" t="n">
        <x:v>25</x:v>
      </x:c>
      <x:c r="E8" s="8" t="inlineStr">
        <x:is>
          <x:t xml:space="preserve">同一业务需求、同站点、可共用上架表的一组SKU。</x:t>
        </x:is>
      </x:c>
      <x:c r="F8" s="8" t="inlineStr">
        <x:is>
          <x:t xml:space="preserve">已有产品资料和文案；完成一个上架执行组，包含本次必要的父子关系组合。</x:t>
        </x:is>
      </x:c>
      <x:c r="G8" s="8" t="inlineStr">
        <x:is>
          <x:t xml:space="preserve">25元/上架执行组，包含本次必要的父子关系组合及上传核验；不另叠加变体维护报酬。按同一需求、同站点、可共用上架表分组，不按OA条数拆分。</x:t>
        </x:is>
      </x:c>
      <x:c r="H8" s="8" t="inlineStr">
        <x:is>
          <x:t xml:space="preserve">包含资料整理、模板填写、上传与核验；关系处理增加判断和验证工作。</x:t>
        </x:is>
      </x:c>
      <x:c r="I8" s="9" t="n"/>
      <x:c r="J8" s="8" t="inlineStr">
        <x:is>
          <x:t xml:space="preserve">未明确列入的项目</x:t>
        </x:is>
      </x:c>
      <x:c r="K8" s="8" t="n">
        <x:f>'主动改善评价'!C16</x:f>
        <x:v>1</x:v>
      </x:c>
      <x:c r="L8" s="15" t="n">
        <x:f>D8*K8</x:f>
        <x:v>25</x:v>
      </x:c>
    </x:row>
    <x:row r="9" ht="85" customHeight="1">
      <x:c r="A9" s="4" t="inlineStr">
        <x:is>
          <x:t xml:space="preserve">P002-a</x:t>
        </x:is>
      </x:c>
      <x:c r="B9" s="4" t="inlineStr">
        <x:is>
          <x:t xml:space="preserve">新品上架</x:t>
        </x:is>
      </x:c>
      <x:c r="C9" s="4" t="inlineStr">
        <x:is>
          <x:t xml:space="preserve">首轮图片上传：已有图片</x:t>
        </x:is>
      </x:c>
      <x:c r="D9" s="14" t="n">
        <x:v>10</x:v>
      </x:c>
      <x:c r="E9" s="4" t="inlineStr">
        <x:is>
          <x:t xml:space="preserve">SKU；目标站点范围在任务中列明。</x:t>
        </x:is>
      </x:c>
      <x:c r="F9" s="4" t="inlineStr">
        <x:is>
          <x:t xml:space="preserve">已有可用图片，完成一个SKU的首轮上传及核验。</x:t>
        </x:is>
      </x:c>
      <x:c r="G9" s="4" t="inlineStr">
        <x:is>
          <x:t xml:space="preserve">无自动升档；缺图转P002-b，独立图片策划另按实际交付。</x:t>
        </x:is>
      </x:c>
      <x:c r="H9" s="4" t="inlineStr">
        <x:is>
          <x:t xml:space="preserve">操作标准化，不需要原创构思；逐SKU操作仍有实际工作。</x:t>
        </x:is>
      </x:c>
      <x:c r="I9" s="9" t="n"/>
      <x:c r="J9" s="4" t="inlineStr">
        <x:is>
          <x:t xml:space="preserve">Listing事实纠错及局部维护</x:t>
        </x:is>
      </x:c>
      <x:c r="K9" s="4" t="n">
        <x:f>'主动改善评价'!C12</x:f>
        <x:v>1.5</x:v>
      </x:c>
      <x:c r="L9" s="16" t="n">
        <x:f>D9*K9</x:f>
        <x:v>15</x:v>
      </x:c>
    </x:row>
    <x:row r="10" ht="85" customHeight="1">
      <x:c r="A10" s="8" t="inlineStr">
        <x:is>
          <x:t xml:space="preserve">P002-b</x:t>
        </x:is>
      </x:c>
      <x:c r="B10" s="8" t="inlineStr">
        <x:is>
          <x:t xml:space="preserve">新品上架</x:t>
        </x:is>
      </x:c>
      <x:c r="C10" s="8" t="inlineStr">
        <x:is>
          <x:t xml:space="preserve">首轮图片上传：需要取图—标准处理</x:t>
        </x:is>
      </x:c>
      <x:c r="D10" s="14" t="n">
        <x:v>15</x:v>
      </x:c>
      <x:c r="E10" s="8" t="inlineStr">
        <x:is>
          <x:t xml:space="preserve">同一需求的一批SKU；上传逐SKU，共用取图协调按次。</x:t>
        </x:is>
      </x:c>
      <x:c r="F10" s="8" t="inlineStr">
        <x:is>
          <x:t xml:space="preserve">向一个明确负责人索要并确认可用图片，完成本批图片上传及核验。</x:t>
        </x:is>
      </x:c>
      <x:c r="G10" s="8" t="inlineStr">
        <x:is>
          <x:t xml:space="preserve">本批总报酬＝10元×实际上传SKU数＋取图协调5元/独立安排。D列15元仅为1个SKU的完整任务金额；多个SKU共用协调不能直接用D列乘SKU数。普通及复杂协调只选一档。与P002-a不重复领上传费，与P003已付的相同收图工作不重复。</x:t>
        </x:is>
      </x:c>
      <x:c r="H10" s="8" t="inlineStr">
        <x:is>
          <x:t xml:space="preserve">区分逐SKU上传和一次共用协调。等待久不加价，不得自行拆分安排增加报酬。</x:t>
        </x:is>
      </x:c>
      <x:c r="I10" s="9" t="n"/>
      <x:c r="J10" s="8" t="inlineStr">
        <x:is>
          <x:t xml:space="preserve">Listing事实纠错及局部维护</x:t>
        </x:is>
      </x:c>
      <x:c r="K10" s="8" t="n">
        <x:f>'主动改善评价'!C12</x:f>
        <x:v>1.5</x:v>
      </x:c>
      <x:c r="L10" s="15" t="n">
        <x:f>D10*K10</x:f>
        <x:v>22.5</x:v>
      </x:c>
    </x:row>
    <x:row r="11" ht="85" customHeight="1">
      <x:c r="A11" s="4" t="inlineStr">
        <x:is>
          <x:t xml:space="preserve">P002-b-T4</x:t>
        </x:is>
      </x:c>
      <x:c r="B11" s="4" t="inlineStr">
        <x:is>
          <x:t xml:space="preserve">新品上架</x:t>
        </x:is>
      </x:c>
      <x:c r="C11" s="4" t="inlineStr">
        <x:is>
          <x:t xml:space="preserve">首轮图片上传：需要取图—20元档</x:t>
        </x:is>
      </x:c>
      <x:c r="D11" s="14" t="n">
        <x:v>20</x:v>
      </x:c>
      <x:c r="E11" s="4" t="inlineStr">
        <x:is>
          <x:t xml:space="preserve">同一需求的一批SKU；上传逐SKU，共用取图协调按次。</x:t>
        </x:is>
      </x:c>
      <x:c r="F11" s="4" t="inlineStr">
        <x:is>
          <x:t xml:space="preserve">核对多个冲突版本或协调多方确认可用图片，完成本批图片上传及核验。</x:t>
        </x:is>
      </x:c>
      <x:c r="G11" s="4" t="inlineStr">
        <x:is>
          <x:t xml:space="preserve">本批总报酬＝10元×实际上传SKU数＋取图协调10元/独立安排。D列20元仅为1个SKU的完整任务金额；多个SKU共用协调不能直接用D列乘SKU数。普通及复杂协调只选一档。与P002-a不重复领上传费，与P003已付的相同收图工作不重复。</x:t>
        </x:is>
      </x:c>
      <x:c r="H11" s="4" t="inlineStr">
        <x:is>
          <x:t xml:space="preserve">区分逐SKU上传和一次共用协调。等待久不加价，不得自行拆分安排增加报酬。</x:t>
        </x:is>
      </x:c>
      <x:c r="I11" s="9" t="n"/>
      <x:c r="J11" s="4" t="inlineStr">
        <x:is>
          <x:t xml:space="preserve">Listing事实纠错及局部维护</x:t>
        </x:is>
      </x:c>
      <x:c r="K11" s="4" t="n">
        <x:f>'主动改善评价'!C12</x:f>
        <x:v>1.5</x:v>
      </x:c>
      <x:c r="L11" s="16" t="n">
        <x:f>D11*K11</x:f>
        <x:v>30</x:v>
      </x:c>
    </x:row>
    <x:row r="12" ht="85" customHeight="1">
      <x:c r="A12" s="8" t="inlineStr">
        <x:is>
          <x:t xml:space="preserve">P003</x:t>
        </x:is>
      </x:c>
      <x:c r="B12" s="8" t="inlineStr">
        <x:is>
          <x:t xml:space="preserve">素材准备</x:t>
        </x:is>
      </x:c>
      <x:c r="C12" s="8" t="inlineStr">
        <x:is>
          <x:t xml:space="preserve">样品备货与拍摄协调—标准处理</x:t>
        </x:is>
      </x:c>
      <x:c r="D12" s="14" t="n">
        <x:v>20</x:v>
      </x:c>
      <x:c r="E12" s="8" t="inlineStr">
        <x:is>
          <x:t xml:space="preserve">一次独立的备货及拍摄协调安排。</x:t>
        </x:is>
      </x:c>
      <x:c r="F12" s="8" t="inlineStr">
        <x:is>
          <x:t xml:space="preserve">一项样品备货、到货跟进、交接美工和收图的完整安排。</x:t>
        </x:is>
      </x:c>
      <x:c r="G12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2" s="8" t="inlineStr">
        <x:is>
          <x:t xml:space="preserve">步骤多且有交接责任，但采购及拍摄由专人执行。</x:t>
        </x:is>
      </x:c>
      <x:c r="I12" s="9" t="n"/>
      <x:c r="J12" s="8" t="inlineStr">
        <x:is>
          <x:t xml:space="preserve">未明确列入的项目</x:t>
        </x:is>
      </x:c>
      <x:c r="K12" s="8" t="n">
        <x:f>'主动改善评价'!C16</x:f>
        <x:v>1</x:v>
      </x:c>
      <x:c r="L12" s="15" t="n">
        <x:f>D12*K12</x:f>
        <x:v>20</x:v>
      </x:c>
    </x:row>
    <x:row r="13" ht="85" customHeight="1">
      <x:c r="A13" s="4" t="inlineStr">
        <x:is>
          <x:t xml:space="preserve">P003-T5</x:t>
        </x:is>
      </x:c>
      <x:c r="B13" s="4" t="inlineStr">
        <x:is>
          <x:t xml:space="preserve">素材准备</x:t>
        </x:is>
      </x:c>
      <x:c r="C13" s="4" t="inlineStr">
        <x:is>
          <x:t xml:space="preserve">样品备货与拍摄协调—25元档</x:t>
        </x:is>
      </x:c>
      <x:c r="D13" s="14" t="n">
        <x:v>25</x:v>
      </x:c>
      <x:c r="E13" s="4" t="inlineStr">
        <x:is>
          <x:t xml:space="preserve">一次独立的备货及拍摄协调安排。</x:t>
        </x:is>
      </x:c>
      <x:c r="F13" s="4" t="inlineStr">
        <x:is>
          <x:t xml:space="preserve">在完成该项目基本交付的基础上：发生实际缺件、错样或交付要求冲突，员工需协调解决后完成；普通催办不升档。</x:t>
        </x:is>
      </x:c>
      <x:c r="G13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3" s="4" t="inlineStr">
        <x:is>
          <x:t xml:space="preserve">原升降档条件独立列行，沿用原25元标准；不是新增累计任务。</x:t>
        </x:is>
      </x:c>
      <x:c r="I13" s="9" t="n"/>
      <x:c r="J13" s="4" t="inlineStr">
        <x:is>
          <x:t xml:space="preserve">未明确列入的项目</x:t>
        </x:is>
      </x:c>
      <x:c r="K13" s="4" t="n">
        <x:f>'主动改善评价'!C16</x:f>
        <x:v>1</x:v>
      </x:c>
      <x:c r="L13" s="16" t="n">
        <x:f>D13*K13</x:f>
        <x:v>25</x:v>
      </x:c>
    </x:row>
    <x:row r="14" ht="85" customHeight="1">
      <x:c r="A14" s="8" t="inlineStr">
        <x:is>
          <x:t xml:space="preserve">P004-a</x:t>
        </x:is>
      </x:c>
      <x:c r="B14" s="8" t="inlineStr">
        <x:is>
          <x:t xml:space="preserve">A+内容</x:t>
        </x:is>
      </x:c>
      <x:c r="C14" s="8" t="inlineStr">
        <x:is>
          <x:t xml:space="preserve">已有A+新增绑定</x:t>
        </x:is>
      </x:c>
      <x:c r="D14" s="14" t="n">
        <x:v>5</x:v>
      </x:c>
      <x:c r="E14" s="8" t="inlineStr">
        <x:is>
          <x:t xml:space="preserve">原任务范围以外的新增SKU。</x:t>
        </x:is>
      </x:c>
      <x:c r="F14" s="8" t="inlineStr">
        <x:is>
          <x:t xml:space="preserve">已有适用A+，为一个原范围外新增SKU绑定并核验。</x:t>
        </x:is>
      </x:c>
      <x:c r="G14" s="8" t="inlineStr">
        <x:is>
          <x:t xml:space="preserve">无自动升档；发现内容不适用需另确认修改交付。</x:t>
        </x:is>
      </x:c>
      <x:c r="H14" s="8" t="inlineStr">
        <x:is>
          <x:t xml:space="preserve">适用关系已明确，执行简单绑定和核验；不包含内容制作，按5元档。</x:t>
        </x:is>
      </x:c>
      <x:c r="I14" s="9" t="n"/>
      <x:c r="J14" s="8" t="inlineStr">
        <x:is>
          <x:t xml:space="preserve">未明确列入的项目</x:t>
        </x:is>
      </x:c>
      <x:c r="K14" s="8" t="n">
        <x:f>'主动改善评价'!C16</x:f>
        <x:v>1</x:v>
      </x:c>
      <x:c r="L14" s="15" t="n">
        <x:f>D14*K14</x:f>
        <x:v>5</x:v>
      </x:c>
    </x:row>
    <x:row r="15" ht="85" customHeight="1">
      <x:c r="A15" s="4" t="inlineStr">
        <x:is>
          <x:t xml:space="preserve">P005-a</x:t>
        </x:is>
      </x:c>
      <x:c r="B15" s="4" t="inlineStr">
        <x:is>
          <x:t xml:space="preserve">视频内容</x:t>
        </x:is>
      </x:c>
      <x:c r="C15" s="4" t="inlineStr">
        <x:is>
          <x:t xml:space="preserve">已有视频信息修改—标准处理</x:t>
        </x:is>
      </x:c>
      <x:c r="D15" s="14" t="n">
        <x:v>5</x:v>
      </x:c>
      <x:c r="E15" s="4" t="inlineStr">
        <x:is>
          <x:t xml:space="preserve">同一视频的一轮修改。</x:t>
        </x:is>
      </x:c>
      <x:c r="F15" s="4" t="inlineStr">
        <x:is>
          <x:t xml:space="preserve">按给定要求修改一个已有视频的信息并核验。</x:t>
        </x:is>
      </x:c>
      <x:c r="G15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5" s="4" t="inlineStr">
        <x:is>
          <x:t xml:space="preserve">已有文字的少量信息替换，按5元；独立表达不属于简单修改。</x:t>
        </x:is>
      </x:c>
      <x:c r="I15" s="9" t="n"/>
      <x:c r="J15" s="4" t="inlineStr">
        <x:is>
          <x:t xml:space="preserve">Listing事实纠错及局部维护</x:t>
        </x:is>
      </x:c>
      <x:c r="K15" s="4" t="n">
        <x:f>'主动改善评价'!C12</x:f>
        <x:v>1.5</x:v>
      </x:c>
      <x:c r="L15" s="16" t="n">
        <x:f>D15*K15</x:f>
        <x:v>7.5</x:v>
      </x:c>
    </x:row>
    <x:row r="16" ht="85" customHeight="1">
      <x:c r="A16" s="8" t="inlineStr">
        <x:is>
          <x:t xml:space="preserve">P005-a-T3</x:t>
        </x:is>
      </x:c>
      <x:c r="B16" s="8" t="inlineStr">
        <x:is>
          <x:t xml:space="preserve">视频内容</x:t>
        </x:is>
      </x:c>
      <x:c r="C16" s="8" t="inlineStr">
        <x:is>
          <x:t xml:space="preserve">已有视频信息修改—15元档</x:t>
        </x:is>
      </x:c>
      <x:c r="D16" s="14" t="n">
        <x:v>15</x:v>
      </x:c>
      <x:c r="E16" s="8" t="inlineStr">
        <x:is>
          <x:t xml:space="preserve">同一视频的一轮修改。</x:t>
        </x:is>
      </x:c>
      <x:c r="F16" s="8" t="inlineStr">
        <x:is>
          <x:t xml:space="preserve">在完成该项目基本交付的基础上：需要独立改写标题并核实产品表达；简单事实纠错转纠错项目。</x:t>
        </x:is>
      </x:c>
      <x:c r="G16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6" s="8" t="inlineStr">
        <x:is>
          <x:t xml:space="preserve">原升降档条件独立列行，沿用原15元标准；不是新增累计任务。</x:t>
        </x:is>
      </x:c>
      <x:c r="I16" s="9" t="n"/>
      <x:c r="J16" s="8" t="inlineStr">
        <x:is>
          <x:t xml:space="preserve">Listing事实纠错及局部维护</x:t>
        </x:is>
      </x:c>
      <x:c r="K16" s="8" t="n">
        <x:f>'主动改善评价'!C12</x:f>
        <x:v>1.5</x:v>
      </x:c>
      <x:c r="L16" s="15" t="n">
        <x:f>D16*K16</x:f>
        <x:v>22.5</x:v>
      </x:c>
    </x:row>
    <x:row r="17" ht="85" customHeight="1">
      <x:c r="A17" s="4" t="inlineStr">
        <x:is>
          <x:t xml:space="preserve">P005-b</x:t>
        </x:is>
      </x:c>
      <x:c r="B17" s="4" t="inlineStr">
        <x:is>
          <x:t xml:space="preserve">视频内容</x:t>
        </x:is>
      </x:c>
      <x:c r="C17" s="4" t="inlineStr">
        <x:is>
          <x:t xml:space="preserve">视频上传或替换—标准处理</x:t>
        </x:is>
      </x:c>
      <x:c r="D17" s="14" t="n">
        <x:v>15</x:v>
      </x:c>
      <x:c r="E17" s="4" t="inlineStr">
        <x:is>
          <x:t xml:space="preserve">独立视频文件；共用同一视频的商品合并记录。</x:t>
        </x:is>
      </x:c>
      <x:c r="F17" s="4" t="inlineStr">
        <x:is>
          <x:t xml:space="preserve">已有成片，完成一个独立视频上传、标题及本批绑定。</x:t>
        </x:is>
      </x:c>
      <x:c r="G17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7" s="4" t="inlineStr">
        <x:is>
          <x:t xml:space="preserve">比单字段修改步骤更多，但不承担拍摄和剪辑。</x:t>
        </x:is>
      </x:c>
      <x:c r="I17" s="9" t="n"/>
      <x:c r="J17" s="4" t="inlineStr">
        <x:is>
          <x:t xml:space="preserve">Listing事实纠错及局部维护</x:t>
        </x:is>
      </x:c>
      <x:c r="K17" s="4" t="n">
        <x:f>'主动改善评价'!C12</x:f>
        <x:v>1.5</x:v>
      </x:c>
      <x:c r="L17" s="16" t="n">
        <x:f>D17*K17</x:f>
        <x:v>22.5</x:v>
      </x:c>
    </x:row>
    <x:row r="18" ht="85" customHeight="1">
      <x:c r="A18" s="8" t="inlineStr">
        <x:is>
          <x:t xml:space="preserve">P005-b-T4</x:t>
        </x:is>
      </x:c>
      <x:c r="B18" s="8" t="inlineStr">
        <x:is>
          <x:t xml:space="preserve">视频内容</x:t>
        </x:is>
      </x:c>
      <x:c r="C18" s="8" t="inlineStr">
        <x:is>
          <x:t xml:space="preserve">视频上传或替换—20元档</x:t>
        </x:is>
      </x:c>
      <x:c r="D18" s="14" t="n">
        <x:v>20</x:v>
      </x:c>
      <x:c r="E18" s="8" t="inlineStr">
        <x:is>
          <x:t xml:space="preserve">独立视频文件；共用同一视频的商品合并记录。</x:t>
        </x:is>
      </x:c>
      <x:c r="F18" s="8" t="inlineStr">
        <x:is>
          <x:t xml:space="preserve">在完成该项目基本交付的基础上：需判断并纠正文件或商品对应问题，完成实际额外处理；普通审核修正不升档。</x:t>
        </x:is>
      </x:c>
      <x:c r="G18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8" s="8" t="inlineStr">
        <x:is>
          <x:t xml:space="preserve">原升降档条件独立列行，沿用原20元标准；不是新增累计任务。</x:t>
        </x:is>
      </x:c>
      <x:c r="I18" s="9" t="n"/>
      <x:c r="J18" s="8" t="inlineStr">
        <x:is>
          <x:t xml:space="preserve">Listing事实纠错及局部维护</x:t>
        </x:is>
      </x:c>
      <x:c r="K18" s="8" t="n">
        <x:f>'主动改善评价'!C12</x:f>
        <x:v>1.5</x:v>
      </x:c>
      <x:c r="L18" s="15" t="n">
        <x:f>D18*K18</x:f>
        <x:v>30</x:v>
      </x:c>
    </x:row>
    <x:row r="19" ht="85" customHeight="1">
      <x:c r="A19" s="4" t="inlineStr">
        <x:is>
          <x:t xml:space="preserve">P005-c/d</x:t>
        </x:is>
      </x:c>
      <x:c r="B19" s="4" t="inlineStr">
        <x:is>
          <x:t xml:space="preserve">视频内容</x:t>
        </x:is>
      </x:c>
      <x:c r="C19" s="4" t="inlineStr">
        <x:is>
          <x:t xml:space="preserve">已有视频新增ASIN—标准处理</x:t>
        </x:is>
      </x:c>
      <x:c r="D19" s="14" t="n">
        <x:v>10</x:v>
      </x:c>
      <x:c r="E19" s="4" t="inlineStr">
        <x:is>
          <x:t xml:space="preserve">同站点、同一视频的一批新增独立ASIN。</x:t>
        </x:is>
      </x:c>
      <x:c r="F19" s="4" t="inlineStr">
        <x:is>
          <x:t xml:space="preserve">同站点、同视频的一批新增ASIN，适用关系明确，可共同操作。</x:t>
        </x:is>
      </x:c>
      <x:c r="G19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9" s="4" t="inlineStr">
        <x:is>
          <x:t xml:space="preserve">按绑定批次评价标准操作；手动逐项处理增加操作量。</x:t>
        </x:is>
      </x:c>
      <x:c r="I19" s="9" t="n"/>
      <x:c r="J19" s="4" t="inlineStr">
        <x:is>
          <x:t xml:space="preserve">Listing事实纠错及局部维护</x:t>
        </x:is>
      </x:c>
      <x:c r="K19" s="4" t="n">
        <x:f>'主动改善评价'!C12</x:f>
        <x:v>1.5</x:v>
      </x:c>
      <x:c r="L19" s="16" t="n">
        <x:f>D19*K19</x:f>
        <x:v>15</x:v>
      </x:c>
    </x:row>
    <x:row r="20" ht="85" customHeight="1">
      <x:c r="A20" s="8" t="inlineStr">
        <x:is>
          <x:t xml:space="preserve">P005-c/d-T3</x:t>
        </x:is>
      </x:c>
      <x:c r="B20" s="8" t="inlineStr">
        <x:is>
          <x:t xml:space="preserve">视频内容</x:t>
        </x:is>
      </x:c>
      <x:c r="C20" s="8" t="inlineStr">
        <x:is>
          <x:t xml:space="preserve">已有视频新增ASIN—15元档</x:t>
        </x:is>
      </x:c>
      <x:c r="D20" s="14" t="n">
        <x:v>15</x:v>
      </x:c>
      <x:c r="E20" s="8" t="inlineStr">
        <x:is>
          <x:t xml:space="preserve">同站点、同一视频的一批新增独立ASIN。</x:t>
        </x:is>
      </x:c>
      <x:c r="F20" s="8" t="inlineStr">
        <x:is>
          <x:t xml:space="preserve">在完成该项目基本交付的基础上：实际需要逐项手动绑定及核验，无法批量完成；不得以自行拆批触发升档。</x:t>
        </x:is>
      </x:c>
      <x:c r="G20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20" s="8" t="inlineStr">
        <x:is>
          <x:t xml:space="preserve">原升降档条件独立列行，沿用原15元标准；不是新增累计任务。</x:t>
        </x:is>
      </x:c>
      <x:c r="I20" s="9" t="n"/>
      <x:c r="J20" s="8" t="inlineStr">
        <x:is>
          <x:t xml:space="preserve">Listing事实纠错及局部维护</x:t>
        </x:is>
      </x:c>
      <x:c r="K20" s="8" t="n">
        <x:f>'主动改善评价'!C12</x:f>
        <x:v>1.5</x:v>
      </x:c>
      <x:c r="L20" s="15" t="n">
        <x:f>D20*K20</x:f>
        <x:v>22.5</x:v>
      </x:c>
    </x:row>
    <x:row r="21" ht="85" customHeight="1">
      <x:c r="A21" s="4" t="inlineStr">
        <x:is>
          <x:t xml:space="preserve">P006</x:t>
        </x:is>
      </x:c>
      <x:c r="B21" s="4" t="inlineStr">
        <x:is>
          <x:t xml:space="preserve">Listing内容</x:t>
        </x:is>
      </x:c>
      <x:c r="C21" s="4" t="inlineStr">
        <x:is>
          <x:t xml:space="preserve">事实字段纠错</x:t>
        </x:is>
      </x:c>
      <x:c r="D21" s="14" t="n">
        <x:v>15</x:v>
      </x:c>
      <x:c r="E21" s="4" t="inlineStr">
        <x:is>
          <x:t xml:space="preserve">同一原因、同一修正方案的一批问题；列出去重站点和ASIN。</x:t>
        </x:is>
      </x:c>
      <x:c r="F21" s="4" t="inlineStr">
        <x:is>
          <x:t xml:space="preserve">正确事实已有依据，完成同一原因的一批字段纠错及相关位置检查。</x:t>
        </x:is>
      </x:c>
      <x:c r="G21" s="4" t="inlineStr">
        <x:is>
          <x:t xml:space="preserve">同因同批合并；另有多来源核查及冲突确认时选择P006-T5，两档互斥。本人责任纠错不另计酬，相同成果不重复计其他项目。</x:t>
        </x:is>
      </x:c>
      <x:c r="H21" s="4" t="inlineStr">
        <x:is>
          <x:t xml:space="preserve">不能只看改了几个字；定位、核实和检查遗漏是主要工作。</x:t>
        </x:is>
      </x:c>
      <x:c r="I21" s="9" t="n"/>
      <x:c r="J21" s="4" t="inlineStr">
        <x:is>
          <x:t xml:space="preserve">Listing事实纠错及局部维护</x:t>
        </x:is>
      </x:c>
      <x:c r="K21" s="4" t="n">
        <x:f>'主动改善评价'!C12</x:f>
        <x:v>1.5</x:v>
      </x:c>
      <x:c r="L21" s="16" t="n">
        <x:f>D21*K21</x:f>
        <x:v>22.5</x:v>
      </x:c>
    </x:row>
    <x:row r="22" ht="85" customHeight="1">
      <x:c r="A22" s="8" t="inlineStr">
        <x:is>
          <x:t xml:space="preserve">P006-T5</x:t>
        </x:is>
      </x:c>
      <x:c r="B22" s="8" t="inlineStr">
        <x:is>
          <x:t xml:space="preserve">Listing内容</x:t>
        </x:is>
      </x:c>
      <x:c r="C22" s="8" t="inlineStr">
        <x:is>
          <x:t xml:space="preserve">事实字段纠错—资料冲突核查</x:t>
        </x:is>
      </x:c>
      <x:c r="D22" s="14" t="n">
        <x:v>25</x:v>
      </x:c>
      <x:c r="E22" s="8" t="inlineStr">
        <x:is>
          <x:t xml:space="preserve">同一原因、同一修正方案的一批问题；列出去重站点和ASIN。</x:t>
        </x:is>
      </x:c>
      <x:c r="F22" s="8" t="inlineStr">
        <x:is>
          <x:t xml:space="preserve">需比对资料版本、向负责人核实冲突，确认正确事实后完成同因批次修正和相关位置核验。</x:t>
        </x:is>
      </x:c>
      <x:c r="G22" s="8" t="inlineStr">
        <x:is>
          <x:t xml:space="preserve">同因同批合并；另有多来源核查及冲突确认时选择P006-T5，两档互斥。本人责任纠错不另计酬，相同成果不重复计其他项目。</x:t>
        </x:is>
      </x:c>
      <x:c r="H22" s="8" t="inlineStr">
        <x:is>
          <x:t xml:space="preserve">将原“最高25元”的模糊说明按已有资料冲突核查范围明确列为25元档；与标准15元互斥。</x:t>
        </x:is>
      </x:c>
      <x:c r="I22" s="9" t="n"/>
      <x:c r="J22" s="8" t="inlineStr">
        <x:is>
          <x:t xml:space="preserve">Listing事实纠错及局部维护</x:t>
        </x:is>
      </x:c>
      <x:c r="K22" s="8" t="n">
        <x:f>'主动改善评价'!C12</x:f>
        <x:v>1.5</x:v>
      </x:c>
      <x:c r="L22" s="15" t="n">
        <x:f>D22*K22</x:f>
        <x:v>37.5</x:v>
      </x:c>
    </x:row>
    <x:row r="23" ht="85" customHeight="1">
      <x:c r="A23" s="4" t="inlineStr">
        <x:is>
          <x:t xml:space="preserve">P006-M</x:t>
        </x:is>
      </x:c>
      <x:c r="B23" s="4" t="inlineStr">
        <x:is>
          <x:t xml:space="preserve">Listing内容</x:t>
        </x:is>
      </x:c>
      <x:c r="C23" s="4" t="inlineStr">
        <x:is>
          <x:t xml:space="preserve">逐份内容的简单事实纠错—标准处理</x:t>
        </x:is>
      </x:c>
      <x:c r="D23" s="14" t="n">
        <x:v>10</x:v>
      </x:c>
      <x:c r="E23" s="4" t="inlineStr">
        <x:is>
          <x:t xml:space="preserve">同一问题批次内的独立内容；按内容类型、站点和编号区分。</x:t>
        </x:is>
      </x:c>
      <x:c r="F23" s="4" t="inlineStr">
        <x:is>
          <x:t xml:space="preserve">正确内容已给定，完成一份独立内容的文字或图片替换与核验。</x:t>
        </x:is>
      </x:c>
      <x:c r="G23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23" s="4" t="inlineStr">
        <x:is>
          <x:t xml:space="preserve">单份标准替换判断少；同内容多处修改仍是一轮。</x:t>
        </x:is>
      </x:c>
      <x:c r="I23" s="9" t="n"/>
      <x:c r="J23" s="4" t="inlineStr">
        <x:is>
          <x:t xml:space="preserve">Listing事实纠错及局部维护</x:t>
        </x:is>
      </x:c>
      <x:c r="K23" s="4" t="n">
        <x:f>'主动改善评价'!C12</x:f>
        <x:v>1.5</x:v>
      </x:c>
      <x:c r="L23" s="16" t="n">
        <x:f>D23*K23</x:f>
        <x:v>15</x:v>
      </x:c>
    </x:row>
    <x:row r="24" ht="85" customHeight="1">
      <x:c r="A24" s="8" t="inlineStr">
        <x:is>
          <x:t xml:space="preserve">P006-M-T3</x:t>
        </x:is>
      </x:c>
      <x:c r="B24" s="8" t="inlineStr">
        <x:is>
          <x:t xml:space="preserve">Listing内容</x:t>
        </x:is>
      </x:c>
      <x:c r="C24" s="8" t="inlineStr">
        <x:is>
          <x:t xml:space="preserve">逐份内容的简单事实纠错—15元档</x:t>
        </x:is>
      </x:c>
      <x:c r="D24" s="14" t="n">
        <x:v>15</x:v>
      </x:c>
      <x:c r="E24" s="8" t="inlineStr">
        <x:is>
          <x:t xml:space="preserve">同一问题批次内的独立内容；按内容类型、站点和编号区分。</x:t>
        </x:is>
      </x:c>
      <x:c r="F24" s="8" t="inlineStr">
        <x:is>
          <x:t xml:space="preserve">在完成该项目基本交付的基础上：需先定位多个相关位置并核实对应关系；原创重写、重设计转相应项目。</x:t>
        </x:is>
      </x:c>
      <x:c r="G24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24" s="8" t="inlineStr">
        <x:is>
          <x:t xml:space="preserve">原升降档条件独立列行，沿用原15元标准；不是新增累计任务。</x:t>
        </x:is>
      </x:c>
      <x:c r="I24" s="9" t="n"/>
      <x:c r="J24" s="8" t="inlineStr">
        <x:is>
          <x:t xml:space="preserve">Listing事实纠错及局部维护</x:t>
        </x:is>
      </x:c>
      <x:c r="K24" s="8" t="n">
        <x:f>'主动改善评价'!C12</x:f>
        <x:v>1.5</x:v>
      </x:c>
      <x:c r="L24" s="15" t="n">
        <x:f>D24*K24</x:f>
        <x:v>22.5</x:v>
      </x:c>
    </x:row>
    <x:row r="25" ht="85" customHeight="1">
      <x:c r="A25" s="4" t="inlineStr">
        <x:is>
          <x:t xml:space="preserve">P007</x:t>
        </x:is>
      </x:c>
      <x:c r="B25" s="4" t="inlineStr">
        <x:is>
          <x:t xml:space="preserve">Listing内容</x:t>
        </x:is>
      </x:c>
      <x:c r="C25" s="4" t="inlineStr">
        <x:is>
          <x:t xml:space="preserve">标题改写与优化（已有内容）</x:t>
        </x:is>
      </x:c>
      <x:c r="D25" s="14" t="n">
        <x:v>10</x:v>
      </x:c>
      <x:c r="E25" s="4" t="inlineStr">
        <x:is>
          <x:t xml:space="preserve">一份独立标题；同轮修改合并。</x:t>
        </x:is>
      </x:c>
      <x:c r="F25" s="4" t="inlineStr">
        <x:is>
          <x:t xml:space="preserve">基于已有标题和准确产品参数，使用Codex Skill辅助改写；核验事实与表达，修正后交付可用定稿。</x:t>
        </x:is>
      </x:c>
      <x:c r="G25" s="4" t="inlineStr">
        <x:is>
          <x:t xml:space="preserve">固定10元；同轮修改合并。五点不按改了几点拆分；共用文案仅替换型号参数不按SKU重复计完整改写报酬。另有独立调研分析须事先确认交付，同一成果不重复计酬。</x:t>
        </x:is>
      </x:c>
      <x:c r="H25" s="4" t="inlineStr">
        <x:is>
          <x:t xml:space="preserve">已有内容和Skill已提供主要写作基础，实际工作是组织输入、核验及修订，不按从零创作25元计。</x:t>
        </x:is>
      </x:c>
      <x:c r="I25" s="9" t="n"/>
      <x:c r="J25" s="4" t="inlineStr">
        <x:is>
          <x:t xml:space="preserve">Listing内容实质重写</x:t>
        </x:is>
      </x:c>
      <x:c r="K25" s="4" t="n">
        <x:f>'主动改善评价'!C8</x:f>
        <x:v>2</x:v>
      </x:c>
      <x:c r="L25" s="16" t="n">
        <x:f>D25*K25</x:f>
        <x:v>20</x:v>
      </x:c>
    </x:row>
    <x:row r="26" ht="85" customHeight="1">
      <x:c r="A26" s="8" t="inlineStr">
        <x:is>
          <x:t xml:space="preserve">P008</x:t>
        </x:is>
      </x:c>
      <x:c r="B26" s="8" t="inlineStr">
        <x:is>
          <x:t xml:space="preserve">Listing内容</x:t>
        </x:is>
      </x:c>
      <x:c r="C26" s="8" t="inlineStr">
        <x:is>
          <x:t xml:space="preserve">五点改写与优化（已有内容）</x:t>
        </x:is>
      </x:c>
      <x:c r="D26" s="14" t="n">
        <x:v>10</x:v>
      </x:c>
      <x:c r="E26" s="8" t="inlineStr">
        <x:is>
          <x:t xml:space="preserve">一个Listing的一套五点；不按改了几点拆分。</x:t>
        </x:is>
      </x:c>
      <x:c r="F26" s="8" t="inlineStr">
        <x:is>
          <x:t xml:space="preserve">基于已有五点和准确产品参数，使用Codex Skill辅助改写；核验事实与表达，修正后交付可用定稿。</x:t>
        </x:is>
      </x:c>
      <x:c r="G26" s="8" t="inlineStr">
        <x:is>
          <x:t xml:space="preserve">固定10元；同轮修改合并。五点不按改了几点拆分；共用文案仅替换型号参数不按SKU重复计完整改写报酬。另有独立调研分析须事先确认交付，同一成果不重复计酬。</x:t>
        </x:is>
      </x:c>
      <x:c r="H26" s="8" t="inlineStr">
        <x:is>
          <x:t xml:space="preserve">已有内容和Skill已提供主要写作基础，实际工作是组织输入、核验及修订，不按从零创作25元计。</x:t>
        </x:is>
      </x:c>
      <x:c r="I26" s="9" t="n"/>
      <x:c r="J26" s="8" t="inlineStr">
        <x:is>
          <x:t xml:space="preserve">Listing内容实质重写</x:t>
        </x:is>
      </x:c>
      <x:c r="K26" s="8" t="n">
        <x:f>'主动改善评价'!C8</x:f>
        <x:v>2</x:v>
      </x:c>
      <x:c r="L26" s="15" t="n">
        <x:f>D26*K26</x:f>
        <x:v>20</x:v>
      </x:c>
    </x:row>
    <x:row r="27" ht="85" customHeight="1">
      <x:c r="A27" s="4" t="inlineStr">
        <x:is>
          <x:t xml:space="preserve">P009</x:t>
        </x:is>
      </x:c>
      <x:c r="B27" s="4" t="inlineStr">
        <x:is>
          <x:t xml:space="preserve">Listing内容</x:t>
        </x:is>
      </x:c>
      <x:c r="C27" s="4" t="inlineStr">
        <x:is>
          <x:t xml:space="preserve">描述改写与优化（已有内容）</x:t>
        </x:is>
      </x:c>
      <x:c r="D27" s="14" t="n">
        <x:v>10</x:v>
      </x:c>
      <x:c r="E27" s="4" t="inlineStr">
        <x:is>
          <x:t xml:space="preserve">一份独立描述的一轮工作。</x:t>
        </x:is>
      </x:c>
      <x:c r="F27" s="4" t="inlineStr">
        <x:is>
          <x:t xml:space="preserve">基于已有描述和准确产品参数，使用Codex Skill辅助改写；核验事实与表达，修正后交付可用定稿。</x:t>
        </x:is>
      </x:c>
      <x:c r="G27" s="4" t="inlineStr">
        <x:is>
          <x:t xml:space="preserve">固定10元；同轮修改合并。五点不按改了几点拆分；共用文案仅替换型号参数不按SKU重复计完整改写报酬。另有独立调研分析须事先确认交付，同一成果不重复计酬。</x:t>
        </x:is>
      </x:c>
      <x:c r="H27" s="4" t="inlineStr">
        <x:is>
          <x:t xml:space="preserve">已有内容和Skill已提供主要写作基础，实际工作是组织输入、核验及修订，不按从零创作25元计。</x:t>
        </x:is>
      </x:c>
      <x:c r="I27" s="9" t="n"/>
      <x:c r="J27" s="4" t="inlineStr">
        <x:is>
          <x:t xml:space="preserve">Listing内容实质重写</x:t>
        </x:is>
      </x:c>
      <x:c r="K27" s="4" t="n">
        <x:f>'主动改善评价'!C8</x:f>
        <x:v>2</x:v>
      </x:c>
      <x:c r="L27" s="16" t="n">
        <x:f>D27*K27</x:f>
        <x:v>20</x:v>
      </x:c>
    </x:row>
    <x:row r="28" ht="85" customHeight="1">
      <x:c r="A28" s="8" t="inlineStr">
        <x:is>
          <x:t xml:space="preserve">P010</x:t>
        </x:is>
      </x:c>
      <x:c r="B28" s="8" t="inlineStr">
        <x:is>
          <x:t xml:space="preserve">Listing内容</x:t>
        </x:is>
      </x:c>
      <x:c r="C28" s="8" t="inlineStr">
        <x:is>
          <x:t xml:space="preserve">Generic Keywords编写或优化—标准处理</x:t>
        </x:is>
      </x:c>
      <x:c r="D28" s="14" t="n">
        <x:v>15</x:v>
      </x:c>
      <x:c r="E28" s="8" t="inlineStr">
        <x:is>
          <x:t xml:space="preserve">一套独立关键词内容的一轮工作。</x:t>
        </x:is>
      </x:c>
      <x:c r="F28" s="8" t="inlineStr">
        <x:is>
          <x:t xml:space="preserve">结合产品资料及现有搜索数据，筛选整理一套相关关键词。</x:t>
        </x:is>
      </x:c>
      <x:c r="G28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28" s="8" t="inlineStr">
        <x:is>
          <x:t xml:space="preserve">基础工作是筛选、去重和相关性判断；系统研究增加价析投入。</x:t>
        </x:is>
      </x:c>
      <x:c r="I28" s="9" t="n"/>
      <x:c r="J28" s="8" t="inlineStr">
        <x:is>
          <x:t xml:space="preserve">Listing内容实质重写</x:t>
        </x:is>
      </x:c>
      <x:c r="K28" s="8" t="n">
        <x:f>'主动改善评价'!C8</x:f>
        <x:v>2</x:v>
      </x:c>
      <x:c r="L28" s="15" t="n">
        <x:f>D28*K28</x:f>
        <x:v>30</x:v>
      </x:c>
    </x:row>
    <x:row r="29" ht="85" customHeight="1">
      <x:c r="A29" s="4" t="inlineStr">
        <x:is>
          <x:t xml:space="preserve">P010-T5</x:t>
        </x:is>
      </x:c>
      <x:c r="B29" s="4" t="inlineStr">
        <x:is>
          <x:t xml:space="preserve">Listing内容</x:t>
        </x:is>
      </x:c>
      <x:c r="C29" s="4" t="inlineStr">
        <x:is>
          <x:t xml:space="preserve">Generic Keywords编写或优化—25元档</x:t>
        </x:is>
      </x:c>
      <x:c r="D29" s="14" t="n">
        <x:v>25</x:v>
      </x:c>
      <x:c r="E29" s="4" t="inlineStr">
        <x:is>
          <x:t xml:space="preserve">一套独立关键词内容的一轮工作。</x:t>
        </x:is>
      </x:c>
      <x:c r="F29" s="4" t="inlineStr">
        <x:is>
          <x:t xml:space="preserve">在完成该项目基本交付的基础上：需独立研究竞品和搜索词、排除歧义并说明选词依据。</x:t>
        </x:is>
      </x:c>
      <x:c r="G29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29" s="4" t="inlineStr">
        <x:is>
          <x:t xml:space="preserve">原升降档条件独立列行，沿用原25元标准；不是新增累计任务。</x:t>
        </x:is>
      </x:c>
      <x:c r="I29" s="9" t="n"/>
      <x:c r="J29" s="4" t="inlineStr">
        <x:is>
          <x:t xml:space="preserve">Listing内容实质重写</x:t>
        </x:is>
      </x:c>
      <x:c r="K29" s="4" t="n">
        <x:f>'主动改善评价'!C8</x:f>
        <x:v>2</x:v>
      </x:c>
      <x:c r="L29" s="16" t="n">
        <x:f>D29*K29</x:f>
        <x:v>50</x:v>
      </x:c>
    </x:row>
    <x:row r="30" ht="85" customHeight="1">
      <x:c r="A30" s="8" t="inlineStr">
        <x:is>
          <x:t xml:space="preserve">P011-a</x:t>
        </x:is>
      </x:c>
      <x:c r="B30" s="8" t="inlineStr">
        <x:is>
          <x:t xml:space="preserve">A+内容</x:t>
        </x:is>
      </x:c>
      <x:c r="C30" s="8" t="inlineStr">
        <x:is>
          <x:t xml:space="preserve">A+复用模板制作与发布</x:t>
        </x:is>
      </x:c>
      <x:c r="D30" s="14" t="n">
        <x:v>15</x:v>
      </x:c>
      <x:c r="E30" s="8" t="inlineStr">
        <x:is>
          <x:t xml:space="preserve">一份实际独立A+内容；共用内容的SKU列在同一份下。</x:t>
        </x:is>
      </x:c>
      <x:c r="F30" s="8" t="inlineStr">
        <x:is>
          <x:t xml:space="preserve">沿用已有A+结构和表达方式，适配产品文案及图片并制作发布。新建内容时记录来源模板/原内容ID和新内容ID，说明实际适配部分，核验约定商品应用结果。</x:t>
        </x:is>
      </x:c>
      <x:c r="G30" s="8" t="inlineStr">
        <x:is>
          <x:t xml:space="preserve">固定15元；与同份同轮完全重做或局部修改档互斥。仅复制并替换型号、参数或少量图片按P012，不能因新建内容ID认定完全重做。制作含本次约定商品首次绑定。</x:t>
        </x:is>
      </x:c>
      <x:c r="H30" s="8" t="inlineStr">
        <x:is>
          <x:t xml:space="preserve">沿用模板减少独立构思工作，低于全新25元、高于局部修改10元。</x:t>
        </x:is>
      </x:c>
      <x:c r="I30" s="9" t="n"/>
      <x:c r="J30" s="8" t="inlineStr">
        <x:is>
          <x:t xml:space="preserve">未明确列入的项目</x:t>
        </x:is>
      </x:c>
      <x:c r="K30" s="8" t="n">
        <x:f>'主动改善评价'!C16</x:f>
        <x:v>1</x:v>
      </x:c>
      <x:c r="L30" s="15" t="n">
        <x:f>D30*K30</x:f>
        <x:v>15</x:v>
      </x:c>
    </x:row>
    <x:row r="31" ht="90" customHeight="1">
      <x:c r="A31" s="4" t="inlineStr">
        <x:is>
          <x:t xml:space="preserve">P011-b</x:t>
        </x:is>
      </x:c>
      <x:c r="B31" s="4" t="inlineStr">
        <x:is>
          <x:t xml:space="preserve">A+内容</x:t>
        </x:is>
      </x:c>
      <x:c r="C31" s="4" t="inlineStr">
        <x:is>
          <x:t xml:space="preserve">A+全新或完全重做（策划及制作）</x:t>
        </x:is>
      </x:c>
      <x:c r="D31" s="14" t="n">
        <x:v>25</x:v>
      </x:c>
      <x:c r="E31" s="4" t="inlineStr">
        <x:is>
          <x:t xml:space="preserve">一份新增独立方案；系列共用方案只记录一次。</x:t>
        </x:is>
      </x:c>
      <x:c r="F31" s="4" t="inlineStr">
        <x:is>
          <x:t xml:space="preserve">完成独立策划、文案、图片要求、素材协调及制作发布。原A+不好需完全重做时，必须保留旧A+、另建新A+，记录旧/新内容ID、重做原因及结构、卖点、文案、图片要求的实质变化。首次全新制作无旧版的，标记首次创建。新版本审核通过后核验目标ASIN已应用新内容，并完成约定复盘。</x:t>
        </x:is>
      </x:c>
      <x:c r="G31" s="4" t="inlineStr">
        <x:is>
          <x:t xml:space="preserve">同份同轮完整策划制作总计25元，不叠加模板制作、局部修改和本次首次绑定费用。旧A+留档对照，不要求继续应用在商品上；不得直接覆盖旧A+代替完全重做留档。仅新建内容ID不等于完全重做，复制后仅换参数按局部修改，模板适配按复用档。</x:t>
        </x:is>
      </x:c>
      <x:c r="H31" s="4" t="inlineStr">
        <x:is>
          <x:t xml:space="preserve">日常运营内容制作最高25元；原策划与制作的累计75元规则取消。</x:t>
        </x:is>
      </x:c>
      <x:c r="I31" s="9" t="n"/>
      <x:c r="J31" s="4" t="inlineStr">
        <x:is>
          <x:t xml:space="preserve">Listing内容实质重写</x:t>
        </x:is>
      </x:c>
      <x:c r="K31" s="4" t="n">
        <x:f>'主动改善评价'!C8</x:f>
        <x:v>2</x:v>
      </x:c>
      <x:c r="L31" s="16" t="n">
        <x:f>D31*K31</x:f>
        <x:v>50</x:v>
      </x:c>
    </x:row>
    <x:row r="32" ht="85" customHeight="1">
      <x:c r="A32" s="8" t="inlineStr">
        <x:is>
          <x:t xml:space="preserve">P012</x:t>
        </x:is>
      </x:c>
      <x:c r="B32" s="8" t="inlineStr">
        <x:is>
          <x:t xml:space="preserve">A+内容</x:t>
        </x:is>
      </x:c>
      <x:c r="C32" s="8" t="inlineStr">
        <x:is>
          <x:t xml:space="preserve">A+局部增删修改</x:t>
        </x:is>
      </x:c>
      <x:c r="D32" s="14" t="n">
        <x:v>10</x:v>
      </x:c>
      <x:c r="E32" s="8" t="inlineStr">
        <x:is>
          <x:t xml:space="preserve">同一份A+的一轮修改。</x:t>
        </x:is>
      </x:c>
      <x:c r="F32" s="8" t="inlineStr">
        <x:is>
          <x:t xml:space="preserve">在原A+上局部增删信息、替换参数或少量图片；修改前保留截图或导出记录，记录内容ID、修改内容及前后对照，完成提交和应用核验。</x:t>
        </x:is>
      </x:c>
      <x:c r="G32" s="8" t="inlineStr">
        <x:is>
          <x:t xml:space="preserve">固定10元/份/轮，同轮局部修改合并。与复用制作及完全重做档互斥；若确需完全重做，保留原A+并新建版本，转P011-b且只补同轮已付差额。</x:t>
        </x:is>
      </x:c>
      <x:c r="H32" s="8" t="inlineStr">
        <x:is>
          <x:t xml:space="preserve">局部修改范围小，区别于模板适配与全新制作。</x:t>
        </x:is>
      </x:c>
      <x:c r="I32" s="9" t="n"/>
      <x:c r="J32" s="8" t="inlineStr">
        <x:is>
          <x:t xml:space="preserve">Listing事实纠错及局部维护</x:t>
        </x:is>
      </x:c>
      <x:c r="K32" s="8" t="n">
        <x:f>'主动改善评价'!C12</x:f>
        <x:v>1.5</x:v>
      </x:c>
      <x:c r="L32" s="15" t="n">
        <x:f>D32*K32</x:f>
        <x:v>15</x:v>
      </x:c>
    </x:row>
    <x:row r="33" ht="85" customHeight="1">
      <x:c r="A33" s="4" t="inlineStr">
        <x:is>
          <x:t xml:space="preserve">P013-a</x:t>
        </x:is>
      </x:c>
      <x:c r="B33" s="4" t="inlineStr">
        <x:is>
          <x:t xml:space="preserve">变体关系</x:t>
        </x:is>
      </x:c>
      <x:c r="C33" s="4" t="inlineStr">
        <x:is>
          <x:t xml:space="preserve">变体选项名称或属性值调整</x:t>
        </x:is>
      </x:c>
      <x:c r="D33" s="14" t="n">
        <x:v>10</x:v>
      </x:c>
      <x:c r="E33" s="4" t="inlineStr">
        <x:is>
          <x:t xml:space="preserve">同站点的一项独立变体处理方案。</x:t>
        </x:is>
      </x:c>
      <x:c r="F33" s="4" t="inlineStr">
        <x:is>
          <x:t xml:space="preserve">正确名称和属性已给定，完成一项变体选项更新并核验。</x:t>
        </x:is>
      </x:c>
      <x:c r="G33" s="4" t="inlineStr">
        <x:is>
          <x:t xml:space="preserve">固定10元/独立调整方案；同次修改与核验合并。涉及关系加入、组合或拆分重组，转对应档且只取一个最高适用档。</x:t>
        </x:is>
      </x:c>
      <x:c r="H33" s="4" t="inlineStr">
        <x:is>
          <x:t xml:space="preserve">正确名称或属性已明确，仅改值和核验，低于变体关系组合。</x:t>
        </x:is>
      </x:c>
      <x:c r="I33" s="9" t="n"/>
      <x:c r="J33" s="4" t="inlineStr">
        <x:is>
          <x:t xml:space="preserve">Listing事实纠错及局部维护</x:t>
        </x:is>
      </x:c>
      <x:c r="K33" s="4" t="n">
        <x:f>'主动改善评价'!C12</x:f>
        <x:v>1.5</x:v>
      </x:c>
      <x:c r="L33" s="16" t="n">
        <x:f>D33*K33</x:f>
        <x:v>15</x:v>
      </x:c>
    </x:row>
    <x:row r="34" ht="85" customHeight="1">
      <x:c r="A34" s="8" t="inlineStr">
        <x:is>
          <x:t xml:space="preserve">P013-b</x:t>
        </x:is>
      </x:c>
      <x:c r="B34" s="8" t="inlineStr">
        <x:is>
          <x:t xml:space="preserve">变体关系</x:t>
        </x:is>
      </x:c>
      <x:c r="C34" s="8" t="inlineStr">
        <x:is>
          <x:t xml:space="preserve">已上架商品加入已有变体</x:t>
        </x:is>
      </x:c>
      <x:c r="D34" s="14" t="n">
        <x:v>20</x:v>
      </x:c>
      <x:c r="E34" s="8" t="inlineStr">
        <x:is>
          <x:t xml:space="preserve">一项独立变体处理方案。</x:t>
        </x:is>
      </x:c>
      <x:c r="F34" s="8" t="inlineStr">
        <x:is>
          <x:t xml:space="preserve">目标父体明确，将已上架商品按已知规则加入并核验。</x:t>
        </x:is>
      </x:c>
      <x:c r="G34" s="8" t="inlineStr">
        <x:is>
          <x:t xml:space="preserve">固定20元/独立加入方案；需处理旧关系拆分后再组合时转重组25元，不叠加。新品上架已含关系不另计。</x:t>
        </x:is>
      </x:c>
      <x:c r="H34" s="8" t="inlineStr">
        <x:is>
          <x:t xml:space="preserve">加入现有变体需核对已有属性、兼容性和关系，比独立商品新建组合更难。</x:t>
        </x:is>
      </x:c>
      <x:c r="I34" s="9" t="n"/>
      <x:c r="J34" s="8" t="inlineStr">
        <x:is>
          <x:t xml:space="preserve">Listing事实纠错及局部维护</x:t>
        </x:is>
      </x:c>
      <x:c r="K34" s="8" t="n">
        <x:f>'主动改善评价'!C12</x:f>
        <x:v>1.5</x:v>
      </x:c>
      <x:c r="L34" s="15" t="n">
        <x:f>D34*K34</x:f>
        <x:v>30</x:v>
      </x:c>
    </x:row>
    <x:row r="35" ht="85" customHeight="1">
      <x:c r="A35" s="4" t="inlineStr">
        <x:is>
          <x:t xml:space="preserve">P013-c</x:t>
        </x:is>
      </x:c>
      <x:c r="B35" s="4" t="inlineStr">
        <x:is>
          <x:t xml:space="preserve">变体关系</x:t>
        </x:is>
      </x:c>
      <x:c r="C35" s="4" t="inlineStr">
        <x:is>
          <x:t xml:space="preserve">已上架独立商品组合成新变体</x:t>
        </x:is>
      </x:c>
      <x:c r="D35" s="14" t="n">
        <x:v>15</x:v>
      </x:c>
      <x:c r="E35" s="4" t="inlineStr">
        <x:is>
          <x:t xml:space="preserve">一项完整关系重组方案，列明涉及父体。</x:t>
        </x:is>
      </x:c>
      <x:c r="F35" s="4" t="inlineStr">
        <x:is>
          <x:t xml:space="preserve">将已上架的独立商品按明确规则组成一个新的变体方案，完成关系及页面核验。</x:t>
        </x:is>
      </x:c>
      <x:c r="G35" s="4" t="inlineStr">
        <x:is>
          <x:t xml:space="preserve">固定15元/同站点独立组合方案；新品上架任务中的必要变体组合已含上架报酬，不另计。需拆旧关系后重新组合转P013-d。</x:t>
        </x:is>
      </x:c>
      <x:c r="H35" s="4" t="inlineStr">
        <x:is>
          <x:t xml:space="preserve">新建关系较直接，不涉及旧关系拆分及迁移。</x:t>
        </x:is>
      </x:c>
      <x:c r="I35" s="9" t="n"/>
      <x:c r="J35" s="4" t="inlineStr">
        <x:is>
          <x:t xml:space="preserve">Listing事实纠错及局部维护</x:t>
        </x:is>
      </x:c>
      <x:c r="K35" s="4" t="n">
        <x:f>'主动改善评价'!C12</x:f>
        <x:v>1.5</x:v>
      </x:c>
      <x:c r="L35" s="16" t="n">
        <x:f>D35*K35</x:f>
        <x:v>22.5</x:v>
      </x:c>
    </x:row>
    <x:row r="36" ht="85" customHeight="1">
      <x:c r="A36" s="8" t="inlineStr">
        <x:is>
          <x:t xml:space="preserve">P013-d</x:t>
        </x:is>
      </x:c>
      <x:c r="B36" s="8" t="inlineStr">
        <x:is>
          <x:t xml:space="preserve">变体关系</x:t>
        </x:is>
      </x:c>
      <x:c r="C36" s="8" t="inlineStr">
        <x:is>
          <x:t xml:space="preserve">原有变体拆分、迁移后重新组合</x:t>
        </x:is>
      </x:c>
      <x:c r="D36" s="14" t="n">
        <x:v>25</x:v>
      </x:c>
      <x:c r="E36" s="8" t="inlineStr">
        <x:is>
          <x:t xml:space="preserve">一项完整关系重组方案，列明涉及父体。</x:t>
        </x:is>
      </x:c>
      <x:c r="F36" s="8" t="inlineStr">
        <x:is>
          <x:t xml:space="preserve">拆分原有变体，迁移或重新组合商品，确认执行顺序并核验最终关系。</x:t>
        </x:is>
      </x:c>
      <x:c r="G36" s="8" t="inlineStr">
        <x:is>
          <x:t xml:space="preserve">固定25元/同站点完整重组方案；先拆分、再加入、最后重组只取25元，不叠加。多个SKU共用方案不逐SKU计整份报酬；反复上传重试不加价。</x:t>
        </x:is>
      </x:c>
      <x:c r="H36" s="8" t="inlineStr">
        <x:is>
          <x:t xml:space="preserve">需处理旧关系、安排执行顺序及检查完整结果，复杂度高于新建或加入。</x:t>
        </x:is>
      </x:c>
      <x:c r="I36" s="9" t="n"/>
      <x:c r="J36" s="8" t="inlineStr">
        <x:is>
          <x:t xml:space="preserve">Listing事实纠错及局部维护</x:t>
        </x:is>
      </x:c>
      <x:c r="K36" s="8" t="n">
        <x:f>'主动改善评价'!C12</x:f>
        <x:v>1.5</x:v>
      </x:c>
      <x:c r="L36" s="15" t="n">
        <x:f>D36*K36</x:f>
        <x:v>37.5</x:v>
      </x:c>
    </x:row>
    <x:row r="37" ht="85" customHeight="1">
      <x:c r="A37" s="4" t="inlineStr">
        <x:is>
          <x:t xml:space="preserve">P014-a</x:t>
        </x:is>
      </x:c>
      <x:c r="B37" s="4" t="inlineStr">
        <x:is>
          <x:t xml:space="preserve">图片维护</x:t>
        </x:is>
      </x:c>
      <x:c r="C37" s="4" t="inlineStr">
        <x:is>
          <x:t xml:space="preserve">后续图片更新：已有图片</x:t>
        </x:is>
      </x:c>
      <x:c r="D37" s="14" t="n">
        <x:v>10</x:v>
      </x:c>
      <x:c r="E37" s="4" t="inlineStr">
        <x:is>
          <x:t xml:space="preserve">SKU，列明实际操作站点和本轮范围。</x:t>
        </x:is>
      </x:c>
      <x:c r="F37" s="4" t="inlineStr">
        <x:is>
          <x:t xml:space="preserve">已有新图片，完成一个SKU的独立后续更新及核验。</x:t>
        </x:is>
      </x:c>
      <x:c r="G37" s="4" t="inlineStr">
        <x:is>
          <x:t xml:space="preserve">无自动升档；缺图转P014-b，事实纠错转对应项目。</x:t>
        </x:is>
      </x:c>
      <x:c r="H37" s="4" t="inlineStr">
        <x:is>
          <x:t xml:space="preserve">属于标准图片维护，内容创作不在本项。</x:t>
        </x:is>
      </x:c>
      <x:c r="I37" s="9" t="n"/>
      <x:c r="J37" s="4" t="inlineStr">
        <x:is>
          <x:t xml:space="preserve">Listing事实纠错及局部维护</x:t>
        </x:is>
      </x:c>
      <x:c r="K37" s="4" t="n">
        <x:f>'主动改善评价'!C12</x:f>
        <x:v>1.5</x:v>
      </x:c>
      <x:c r="L37" s="16" t="n">
        <x:f>D37*K37</x:f>
        <x:v>15</x:v>
      </x:c>
    </x:row>
    <x:row r="38" ht="85" customHeight="1">
      <x:c r="A38" s="8" t="inlineStr">
        <x:is>
          <x:t xml:space="preserve">P014-b</x:t>
        </x:is>
      </x:c>
      <x:c r="B38" s="8" t="inlineStr">
        <x:is>
          <x:t xml:space="preserve">图片维护</x:t>
        </x:is>
      </x:c>
      <x:c r="C38" s="8" t="inlineStr">
        <x:is>
          <x:t xml:space="preserve">后续图片更新：需要协调取图—标准处理</x:t>
        </x:is>
      </x:c>
      <x:c r="D38" s="14" t="n">
        <x:v>15</x:v>
      </x:c>
      <x:c r="E38" s="8" t="inlineStr">
        <x:is>
          <x:t xml:space="preserve">SKU，并注明共用的沟通安排。</x:t>
        </x:is>
      </x:c>
      <x:c r="F38" s="8" t="inlineStr">
        <x:is>
          <x:t xml:space="preserve">需向明确负责人获取正确图片，再完成一个SKU后续维护。</x:t>
        </x:is>
      </x:c>
      <x:c r="G38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38" s="8" t="inlineStr">
        <x:is>
          <x:t xml:space="preserve">相较直接上传，增加沟通和版本确认。</x:t>
        </x:is>
      </x:c>
      <x:c r="I38" s="9" t="n"/>
      <x:c r="J38" s="8" t="inlineStr">
        <x:is>
          <x:t xml:space="preserve">Listing事实纠错及局部维护</x:t>
        </x:is>
      </x:c>
      <x:c r="K38" s="8" t="n">
        <x:f>'主动改善评价'!C12</x:f>
        <x:v>1.5</x:v>
      </x:c>
      <x:c r="L38" s="15" t="n">
        <x:f>D38*K38</x:f>
        <x:v>22.5</x:v>
      </x:c>
    </x:row>
    <x:row r="39" ht="85" customHeight="1">
      <x:c r="A39" s="4" t="inlineStr">
        <x:is>
          <x:t xml:space="preserve">P014-b-T4</x:t>
        </x:is>
      </x:c>
      <x:c r="B39" s="4" t="inlineStr">
        <x:is>
          <x:t xml:space="preserve">图片维护</x:t>
        </x:is>
      </x:c>
      <x:c r="C39" s="4" t="inlineStr">
        <x:is>
          <x:t xml:space="preserve">后续图片更新：需要协调取图—20元档</x:t>
        </x:is>
      </x:c>
      <x:c r="D39" s="14" t="n">
        <x:v>20</x:v>
      </x:c>
      <x:c r="E39" s="4" t="inlineStr">
        <x:is>
          <x:t xml:space="preserve">SKU，并注明共用的沟通安排。</x:t>
        </x:is>
      </x:c>
      <x:c r="F39" s="4" t="inlineStr">
        <x:is>
          <x:t xml:space="preserve">在完成该项目基本交付的基础上：需解决版本冲突或多方对应问题；共用协调不逐SKU重复加，等待久不升档。</x:t>
        </x:is>
      </x:c>
      <x:c r="G39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39" s="4" t="inlineStr">
        <x:is>
          <x:t xml:space="preserve">原升降档条件独立列行，沿用原20元标准；不是新增累计任务。</x:t>
        </x:is>
      </x:c>
      <x:c r="I39" s="9" t="n"/>
      <x:c r="J39" s="4" t="inlineStr">
        <x:is>
          <x:t xml:space="preserve">Listing事实纠错及局部维护</x:t>
        </x:is>
      </x:c>
      <x:c r="K39" s="4" t="n">
        <x:f>'主动改善评价'!C12</x:f>
        <x:v>1.5</x:v>
      </x:c>
      <x:c r="L39" s="16" t="n">
        <x:f>D39*K39</x:f>
        <x:v>30</x:v>
      </x:c>
    </x:row>
    <x:row r="40" ht="85" customHeight="1">
      <x:c r="A40" s="8" t="inlineStr">
        <x:is>
          <x:t xml:space="preserve">P015</x:t>
        </x:is>
      </x:c>
      <x:c r="B40" s="8" t="inlineStr">
        <x:is>
          <x:t xml:space="preserve">价格管理</x:t>
        </x:is>
      </x:c>
      <x:c r="C40" s="8" t="inlineStr">
        <x:is>
          <x:t xml:space="preserve">按指定目标调整价格—标准处理</x:t>
        </x:is>
      </x:c>
      <x:c r="D40" s="14" t="n">
        <x:v>10</x:v>
      </x:c>
      <x:c r="E40" s="8" t="inlineStr">
        <x:is>
          <x:t xml:space="preserve">同一次业务安排的一批改价。</x:t>
        </x:is>
      </x:c>
      <x:c r="F40" s="8" t="inlineStr">
        <x:is>
          <x:t xml:space="preserve">负责人给定SKU和目标价格，完成一批上传及核验。</x:t>
        </x:is>
      </x:c>
      <x:c r="G40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40" s="8" t="inlineStr">
        <x:is>
          <x:t xml:space="preserve">策略已给定，主要是执行；不能按调价金额高低加价。</x:t>
        </x:is>
      </x:c>
      <x:c r="I40" s="9" t="n"/>
      <x:c r="J40" s="8" t="inlineStr">
        <x:is>
          <x:t xml:space="preserve">价格／促销／库存等执行类</x:t>
        </x:is>
      </x:c>
      <x:c r="K40" s="8" t="n">
        <x:f>'主动改善评价'!C13</x:f>
        <x:v>1.5</x:v>
      </x:c>
      <x:c r="L40" s="15" t="n">
        <x:f>D40*K40</x:f>
        <x:v>15</x:v>
      </x:c>
    </x:row>
    <x:row r="41" ht="85" customHeight="1">
      <x:c r="A41" s="4" t="inlineStr">
        <x:is>
          <x:t xml:space="preserve">P015-T3</x:t>
        </x:is>
      </x:c>
      <x:c r="B41" s="4" t="inlineStr">
        <x:is>
          <x:t xml:space="preserve">价格管理</x:t>
        </x:is>
      </x:c>
      <x:c r="C41" s="4" t="inlineStr">
        <x:is>
          <x:t xml:space="preserve">按指定目标调整价格—15元档</x:t>
        </x:is>
      </x:c>
      <x:c r="D41" s="14" t="n">
        <x:v>15</x:v>
      </x:c>
      <x:c r="E41" s="4" t="inlineStr">
        <x:is>
          <x:t xml:space="preserve">同一次业务安排的一批改价。</x:t>
        </x:is>
      </x:c>
      <x:c r="F41" s="4" t="inlineStr">
        <x:is>
          <x:t xml:space="preserve">在完成该项目基本交付的基础上：工具确实不支持批量，需逐条手动执行核验</x:t>
        </x:is>
      </x:c>
      <x:c r="G41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41" s="4" t="inlineStr">
        <x:is>
          <x:t xml:space="preserve">原升降档条件独立列行，沿用原15元标准；不是新增累计任务。</x:t>
        </x:is>
      </x:c>
      <x:c r="I41" s="9" t="n"/>
      <x:c r="J41" s="4" t="inlineStr">
        <x:is>
          <x:t xml:space="preserve">价格／促销／库存等执行类</x:t>
        </x:is>
      </x:c>
      <x:c r="K41" s="4" t="n">
        <x:f>'主动改善评价'!C13</x:f>
        <x:v>1.5</x:v>
      </x:c>
      <x:c r="L41" s="16" t="n">
        <x:f>D41*K41</x:f>
        <x:v>22.5</x:v>
      </x:c>
    </x:row>
    <x:row r="42" ht="85" customHeight="1">
      <x:c r="A42" s="8" t="inlineStr">
        <x:is>
          <x:t xml:space="preserve">P015-T5</x:t>
        </x:is>
      </x:c>
      <x:c r="B42" s="8" t="inlineStr">
        <x:is>
          <x:t xml:space="preserve">价格管理</x:t>
        </x:is>
      </x:c>
      <x:c r="C42" s="8" t="inlineStr">
        <x:is>
          <x:t xml:space="preserve">按指定目标调整价格—25元档</x:t>
        </x:is>
      </x:c>
      <x:c r="D42" s="14" t="n">
        <x:v>25</x:v>
      </x:c>
      <x:c r="E42" s="8" t="inlineStr">
        <x:is>
          <x:t xml:space="preserve">同一次业务安排的一批改价。</x:t>
        </x:is>
      </x:c>
      <x:c r="F42" s="8" t="inlineStr">
        <x:is>
          <x:t xml:space="preserve">在完成该项目基本交付的基础上：还需排查数据映射错误并完成修复，且未计其他同一交付。</x:t>
        </x:is>
      </x:c>
      <x:c r="G42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42" s="8" t="inlineStr">
        <x:is>
          <x:t xml:space="preserve">原升降档条件独立列行，沿用原25元标准；不是新增累计任务。</x:t>
        </x:is>
      </x:c>
      <x:c r="I42" s="9" t="n"/>
      <x:c r="J42" s="8" t="inlineStr">
        <x:is>
          <x:t xml:space="preserve">价格／促销／库存等执行类</x:t>
        </x:is>
      </x:c>
      <x:c r="K42" s="8" t="n">
        <x:f>'主动改善评价'!C13</x:f>
        <x:v>1.5</x:v>
      </x:c>
      <x:c r="L42" s="15" t="n">
        <x:f>D42*K42</x:f>
        <x:v>37.5</x:v>
      </x:c>
    </x:row>
    <x:row r="43" ht="85" customHeight="1">
      <x:c r="A43" s="4" t="inlineStr">
        <x:is>
          <x:t xml:space="preserve">P016-a</x:t>
        </x:is>
      </x:c>
      <x:c r="B43" s="4" t="inlineStr">
        <x:is>
          <x:t xml:space="preserve">价格管理</x:t>
        </x:is>
      </x:c>
      <x:c r="C43" s="4" t="inlineStr">
        <x:is>
          <x:t xml:space="preserve">Buy Box处理—已有依据执行</x:t>
        </x:is>
      </x:c>
      <x:c r="D43" s="14" t="n">
        <x:v>15</x:v>
      </x:c>
      <x:c r="E43" s="4" t="inlineStr">
        <x:is>
          <x:t xml:space="preserve">同站点、同一ASIN、同一异常；多SKU只计一次。</x:t>
        </x:is>
      </x:c>
      <x:c r="F43" s="4" t="inlineStr">
        <x:is>
          <x:t xml:space="preserve">原因、可用证据及处理要求已明确；整理提交Case，跟进反馈并完成核验。</x:t>
        </x:is>
      </x:c>
      <x:c r="G43" s="4" t="inlineStr">
        <x:is>
          <x:t xml:space="preserve">仅适用15元档；若实际新增独立原因核查及完整取证，转P016-b，总计25元，已计15元只补10元。</x:t>
        </x:is>
      </x:c>
      <x:c r="H43" s="4" t="inlineStr">
        <x:is>
          <x:t xml:space="preserve">评价现有依据上的执行、跟进与核验，不包含独立查价取证。</x:t>
        </x:is>
      </x:c>
      <x:c r="I43" s="9" t="n"/>
      <x:c r="J43" s="4" t="inlineStr">
        <x:is>
          <x:t xml:space="preserve">异常处理／申诉</x:t>
        </x:is>
      </x:c>
      <x:c r="K43" s="4" t="n">
        <x:f>'主动改善评价'!C11</x:f>
        <x:v>1.5</x:v>
      </x:c>
      <x:c r="L43" s="16" t="n">
        <x:f>D43*K43</x:f>
        <x:v>22.5</x:v>
      </x:c>
    </x:row>
    <x:row r="44" ht="85" customHeight="1">
      <x:c r="A44" s="8" t="inlineStr">
        <x:is>
          <x:t xml:space="preserve">P016-b</x:t>
        </x:is>
      </x:c>
      <x:c r="B44" s="8" t="inlineStr">
        <x:is>
          <x:t xml:space="preserve">价格管理</x:t>
        </x:is>
      </x:c>
      <x:c r="C44" s="8" t="inlineStr">
        <x:is>
          <x:t xml:space="preserve">Buy Box处理—独立核查与取证</x:t>
        </x:is>
      </x:c>
      <x:c r="D44" s="14" t="n">
        <x:v>25</x:v>
      </x:c>
      <x:c r="E44" s="8" t="inlineStr">
        <x:is>
          <x:t xml:space="preserve">同站点、同一ASIN、同一异常；多SKU只计一次。</x:t>
        </x:is>
      </x:c>
      <x:c r="F44" s="8" t="inlineStr">
        <x:is>
          <x:t xml:space="preserve">自行核查异常原因，查找并核对外部售价、运费及商品一致性，整理截图和申诉依据，完成提交、跟进及核验。</x:t>
        </x:is>
      </x:c>
      <x:c r="G44" s="8" t="inlineStr">
        <x:is>
          <x:t xml:space="preserve">本项固定25元；同异常反复Case、催办、等待或补交不升档。同站点同ASIN同异常与P016-a只取一档。</x:t>
        </x:is>
      </x:c>
      <x:c r="H44" s="8" t="inlineStr">
        <x:is>
          <x:t xml:space="preserve">比15元多出独立原因判断、报价口径核对与证据组织；不是按Case次数或销量影响定价。</x:t>
        </x:is>
      </x:c>
      <x:c r="I44" s="9" t="n"/>
      <x:c r="J44" s="8" t="inlineStr">
        <x:is>
          <x:t xml:space="preserve">异常处理／申诉</x:t>
        </x:is>
      </x:c>
      <x:c r="K44" s="8" t="n">
        <x:f>'主动改善评价'!C11</x:f>
        <x:v>1.5</x:v>
      </x:c>
      <x:c r="L44" s="15" t="n">
        <x:f>D44*K44</x:f>
        <x:v>37.5</x:v>
      </x:c>
    </x:row>
    <x:row r="45" ht="85" customHeight="1">
      <x:c r="A45" s="4" t="inlineStr">
        <x:is>
          <x:t xml:space="preserve">P018</x:t>
        </x:is>
      </x:c>
      <x:c r="B45" s="4" t="inlineStr">
        <x:is>
          <x:t xml:space="preserve">促销活动</x:t>
        </x:is>
      </x:c>
      <x:c r="C45" s="4" t="inlineStr">
        <x:is>
          <x:t xml:space="preserve">Coupon与Promotion创建</x:t>
        </x:is>
      </x:c>
      <x:c r="D45" s="14" t="n">
        <x:v>10</x:v>
      </x:c>
      <x:c r="E45" s="4" t="inlineStr">
        <x:is>
          <x:t xml:space="preserve">一个实际独立的Coupon或Promotion。</x:t>
        </x:is>
      </x:c>
      <x:c r="F45" s="4" t="inlineStr">
        <x:is>
          <x:t xml:space="preserve">优惠方案明确，完成一个独立Coupon或Promotion配置及核验。</x:t>
        </x:is>
      </x:c>
      <x:c r="G45" s="4" t="inlineStr">
        <x:is>
          <x:t xml:space="preserve">固定10元/独立活动；包含参数核对、创建或提报、常规报错修正和结果核验，多次修改或重提不重复计酬。</x:t>
        </x:is>
      </x:c>
      <x:c r="H45" s="4" t="inlineStr">
        <x:is>
          <x:t xml:space="preserve">按实际操作难度与Deal/Coupon/Promotion同等评价，均为标准提报执行。</x:t>
        </x:is>
      </x:c>
      <x:c r="I45" s="9" t="n"/>
      <x:c r="J45" s="4" t="inlineStr">
        <x:is>
          <x:t xml:space="preserve">价格／促销／库存等执行类</x:t>
        </x:is>
      </x:c>
      <x:c r="K45" s="4" t="n">
        <x:f>'主动改善评价'!C13</x:f>
        <x:v>1.5</x:v>
      </x:c>
      <x:c r="L45" s="16" t="n">
        <x:f>D45*K45</x:f>
        <x:v>15</x:v>
      </x:c>
    </x:row>
    <x:row r="46" ht="85" customHeight="1">
      <x:c r="A46" s="8" t="inlineStr">
        <x:is>
          <x:t xml:space="preserve">P019</x:t>
        </x:is>
      </x:c>
      <x:c r="B46" s="8" t="inlineStr">
        <x:is>
          <x:t xml:space="preserve">促销活动</x:t>
        </x:is>
      </x:c>
      <x:c r="C46" s="8" t="inlineStr">
        <x:is>
          <x:t xml:space="preserve">Deal活动提报</x:t>
        </x:is>
      </x:c>
      <x:c r="D46" s="14" t="n">
        <x:v>10</x:v>
      </x:c>
      <x:c r="E46" s="8" t="inlineStr">
        <x:is>
          <x:t xml:space="preserve">一个实际独立提报的Deal。</x:t>
        </x:is>
      </x:c>
      <x:c r="F46" s="8" t="inlineStr">
        <x:is>
          <x:t xml:space="preserve">按确认条件完成一个Deal提报及结果记录。</x:t>
        </x:is>
      </x:c>
      <x:c r="G46" s="8" t="inlineStr">
        <x:is>
          <x:t xml:space="preserve">固定10元/独立活动；包含参数核对、创建或提报、常规报错修正和结果核验，多次修改或重提不重复计酬。</x:t>
        </x:is>
      </x:c>
      <x:c r="H46" s="8" t="inlineStr">
        <x:is>
          <x:t xml:space="preserve">按实际操作难度与Deal/Coupon/Promotion同等评价，均为标准提报执行。</x:t>
        </x:is>
      </x:c>
      <x:c r="I46" s="9" t="n"/>
      <x:c r="J46" s="8" t="inlineStr">
        <x:is>
          <x:t xml:space="preserve">价格／促销／库存等执行类</x:t>
        </x:is>
      </x:c>
      <x:c r="K46" s="8" t="n">
        <x:f>'主动改善评价'!C13</x:f>
        <x:v>1.5</x:v>
      </x:c>
      <x:c r="L46" s="15" t="n">
        <x:f>D46*K46</x:f>
        <x:v>15</x:v>
      </x:c>
    </x:row>
    <x:row r="47" ht="85" customHeight="1">
      <x:c r="A47" s="4" t="inlineStr">
        <x:is>
          <x:t xml:space="preserve">P020</x:t>
        </x:is>
      </x:c>
      <x:c r="B47" s="4" t="inlineStr">
        <x:is>
          <x:t xml:space="preserve">广告新建</x:t>
        </x:is>
      </x:c>
      <x:c r="C47" s="4" t="inlineStr">
        <x:is>
          <x:t xml:space="preserve">SP Campaign创建—标准处理</x:t>
        </x:is>
      </x:c>
      <x:c r="D47" s="14" t="n">
        <x:v>10</x:v>
      </x:c>
      <x:c r="E47" s="4" t="inlineStr">
        <x:is>
          <x:t xml:space="preserve">实际独立Campaign。</x:t>
        </x:is>
      </x:c>
      <x:c r="F47" s="4" t="inlineStr">
        <x:is>
          <x:t xml:space="preserve">SP商品及创建方案明确，完成一个Campaign初始配置和核验。</x:t>
        </x:is>
      </x:c>
      <x:c r="G47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47" s="4" t="inlineStr">
        <x:is>
          <x:t xml:space="preserve">SP后台创建较简单；方案分析与创建操作应区分。</x:t>
        </x:is>
      </x:c>
      <x:c r="I47" s="9" t="n"/>
      <x:c r="J47" s="4" t="inlineStr">
        <x:is>
          <x:t xml:space="preserve">广告新建</x:t>
        </x:is>
      </x:c>
      <x:c r="K47" s="4" t="n">
        <x:f>'主动改善评价'!C9</x:f>
        <x:v>2</x:v>
      </x:c>
      <x:c r="L47" s="16" t="n">
        <x:f>D47*K47</x:f>
        <x:v>20</x:v>
      </x:c>
    </x:row>
    <x:row r="48" ht="85" customHeight="1">
      <x:c r="A48" s="8" t="inlineStr">
        <x:is>
          <x:t xml:space="preserve">P020-T5</x:t>
        </x:is>
      </x:c>
      <x:c r="B48" s="8" t="inlineStr">
        <x:is>
          <x:t xml:space="preserve">广告新建</x:t>
        </x:is>
      </x:c>
      <x:c r="C48" s="8" t="inlineStr">
        <x:is>
          <x:t xml:space="preserve">SP Campaign创建—25元档</x:t>
        </x:is>
      </x:c>
      <x:c r="D48" s="14" t="n">
        <x:v>25</x:v>
      </x:c>
      <x:c r="E48" s="8" t="inlineStr">
        <x:is>
          <x:t xml:space="preserve">实际独立Campaign。</x:t>
        </x:is>
      </x:c>
      <x:c r="F48" s="8" t="inlineStr">
        <x:is>
          <x:t xml:space="preserve">在完成该项目基本交付的基础上：员工需要分析商品和投放数据，独立形成有依据的创建方案并执行；不得仅靠增加广告组数量升档。</x:t>
        </x:is>
      </x:c>
      <x:c r="G48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48" s="8" t="inlineStr">
        <x:is>
          <x:t xml:space="preserve">原升降档条件独立列行，沿用原25元标准；不是新增累计任务。</x:t>
        </x:is>
      </x:c>
      <x:c r="I48" s="9" t="n"/>
      <x:c r="J48" s="8" t="inlineStr">
        <x:is>
          <x:t xml:space="preserve">广告新建</x:t>
        </x:is>
      </x:c>
      <x:c r="K48" s="8" t="n">
        <x:f>'主动改善评价'!C9</x:f>
        <x:v>2</x:v>
      </x:c>
      <x:c r="L48" s="15" t="n">
        <x:f>D48*K48</x:f>
        <x:v>50</x:v>
      </x:c>
    </x:row>
    <x:row r="49" ht="85" customHeight="1">
      <x:c r="A49" s="4" t="inlineStr">
        <x:is>
          <x:t xml:space="preserve">P021</x:t>
        </x:is>
      </x:c>
      <x:c r="B49" s="4" t="inlineStr">
        <x:is>
          <x:t xml:space="preserve">广告新建</x:t>
        </x:is>
      </x:c>
      <x:c r="C49" s="4" t="inlineStr">
        <x:is>
          <x:t xml:space="preserve">SB Campaign创建—标准处理</x:t>
        </x:is>
      </x:c>
      <x:c r="D49" s="14" t="n">
        <x:v>15</x:v>
      </x:c>
      <x:c r="E49" s="4" t="inlineStr">
        <x:is>
          <x:t xml:space="preserve">实际独立Campaign。</x:t>
        </x:is>
      </x:c>
      <x:c r="F49" s="4" t="inlineStr">
        <x:is>
          <x:t xml:space="preserve">已有方案、素材和落地页，完成一个SB Campaign创建核验。</x:t>
        </x:is>
      </x:c>
      <x:c r="G49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49" s="4" t="inlineStr">
        <x:is>
          <x:t xml:space="preserve">比SP增加素材、品牌展示和落地页核对。</x:t>
        </x:is>
      </x:c>
      <x:c r="I49" s="9" t="n"/>
      <x:c r="J49" s="4" t="inlineStr">
        <x:is>
          <x:t xml:space="preserve">广告新建</x:t>
        </x:is>
      </x:c>
      <x:c r="K49" s="4" t="n">
        <x:f>'主动改善评价'!C9</x:f>
        <x:v>2</x:v>
      </x:c>
      <x:c r="L49" s="16" t="n">
        <x:f>D49*K49</x:f>
        <x:v>30</x:v>
      </x:c>
    </x:row>
    <x:row r="50" ht="85" customHeight="1">
      <x:c r="A50" s="8" t="inlineStr">
        <x:is>
          <x:t xml:space="preserve">P021-T5</x:t>
        </x:is>
      </x:c>
      <x:c r="B50" s="8" t="inlineStr">
        <x:is>
          <x:t xml:space="preserve">广告新建</x:t>
        </x:is>
      </x:c>
      <x:c r="C50" s="8" t="inlineStr">
        <x:is>
          <x:t xml:space="preserve">SB Campaign创建—25元档</x:t>
        </x:is>
      </x:c>
      <x:c r="D50" s="14" t="n">
        <x:v>25</x:v>
      </x:c>
      <x:c r="E50" s="8" t="inlineStr">
        <x:is>
          <x:t xml:space="preserve">实际独立Campaign。</x:t>
        </x:is>
      </x:c>
      <x:c r="F50" s="8" t="inlineStr">
        <x:is>
          <x:t xml:space="preserve">在完成该项目基本交付的基础上：员工需独立判断素材与投放方案的对应并形成理由；素材原创另看交付，不重复加。</x:t>
        </x:is>
      </x:c>
      <x:c r="G50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50" s="8" t="inlineStr">
        <x:is>
          <x:t xml:space="preserve">原升降档条件独立列行，沿用原25元标准；不是新增累计任务。</x:t>
        </x:is>
      </x:c>
      <x:c r="I50" s="9" t="n"/>
      <x:c r="J50" s="8" t="inlineStr">
        <x:is>
          <x:t xml:space="preserve">广告新建</x:t>
        </x:is>
      </x:c>
      <x:c r="K50" s="8" t="n">
        <x:f>'主动改善评价'!C9</x:f>
        <x:v>2</x:v>
      </x:c>
      <x:c r="L50" s="15" t="n">
        <x:f>D50*K50</x:f>
        <x:v>50</x:v>
      </x:c>
    </x:row>
    <x:row r="51" ht="85" customHeight="1">
      <x:c r="A51" s="4" t="inlineStr">
        <x:is>
          <x:t xml:space="preserve">P022</x:t>
        </x:is>
      </x:c>
      <x:c r="B51" s="4" t="inlineStr">
        <x:is>
          <x:t xml:space="preserve">广告新建</x:t>
        </x:is>
      </x:c>
      <x:c r="C51" s="4" t="inlineStr">
        <x:is>
          <x:t xml:space="preserve">SBV Campaign创建—标准处理</x:t>
        </x:is>
      </x:c>
      <x:c r="D51" s="14" t="n">
        <x:v>15</x:v>
      </x:c>
      <x:c r="E51" s="4" t="inlineStr">
        <x:is>
          <x:t xml:space="preserve">实际独立Campaign。</x:t>
        </x:is>
      </x:c>
      <x:c r="F51" s="4" t="inlineStr">
        <x:is>
          <x:t xml:space="preserve">已有视频及方案，完成一个SBV Campaign创建、提交和核验。</x:t>
        </x:is>
      </x:c>
      <x:c r="G51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51" s="4" t="inlineStr">
        <x:is>
          <x:t xml:space="preserve">包含视频和落地页适配核对，但不属于视频制作。</x:t>
        </x:is>
      </x:c>
      <x:c r="I51" s="9" t="n"/>
      <x:c r="J51" s="4" t="inlineStr">
        <x:is>
          <x:t xml:space="preserve">广告新建</x:t>
        </x:is>
      </x:c>
      <x:c r="K51" s="4" t="n">
        <x:f>'主动改善评价'!C9</x:f>
        <x:v>2</x:v>
      </x:c>
      <x:c r="L51" s="16" t="n">
        <x:f>D51*K51</x:f>
        <x:v>30</x:v>
      </x:c>
    </x:row>
    <x:row r="52" ht="85" customHeight="1">
      <x:c r="A52" s="8" t="inlineStr">
        <x:is>
          <x:t xml:space="preserve">P022-T5</x:t>
        </x:is>
      </x:c>
      <x:c r="B52" s="8" t="inlineStr">
        <x:is>
          <x:t xml:space="preserve">广告新建</x:t>
        </x:is>
      </x:c>
      <x:c r="C52" s="8" t="inlineStr">
        <x:is>
          <x:t xml:space="preserve">SBV Campaign创建—25元档</x:t>
        </x:is>
      </x:c>
      <x:c r="D52" s="14" t="n">
        <x:v>25</x:v>
      </x:c>
      <x:c r="E52" s="8" t="inlineStr">
        <x:is>
          <x:t xml:space="preserve">实际独立Campaign。</x:t>
        </x:is>
      </x:c>
      <x:c r="F52" s="8" t="inlineStr">
        <x:is>
          <x:t xml:space="preserve">在完成该项目基本交付的基础上：需独立判断视频适配及投放方案并交付依据；拍摄剪辑不含在本项。</x:t>
        </x:is>
      </x:c>
      <x:c r="G52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52" s="8" t="inlineStr">
        <x:is>
          <x:t xml:space="preserve">原升降档条件独立列行，沿用原25元标准；不是新增累计任务。</x:t>
        </x:is>
      </x:c>
      <x:c r="I52" s="9" t="n"/>
      <x:c r="J52" s="8" t="inlineStr">
        <x:is>
          <x:t xml:space="preserve">广告新建</x:t>
        </x:is>
      </x:c>
      <x:c r="K52" s="8" t="n">
        <x:f>'主动改善评价'!C9</x:f>
        <x:v>2</x:v>
      </x:c>
      <x:c r="L52" s="15" t="n">
        <x:f>D52*K52</x:f>
        <x:v>50</x:v>
      </x:c>
    </x:row>
    <x:row r="53" ht="85" customHeight="1">
      <x:c r="A53" s="4" t="inlineStr">
        <x:is>
          <x:t xml:space="preserve">P023</x:t>
        </x:is>
      </x:c>
      <x:c r="B53" s="4" t="inlineStr">
        <x:is>
          <x:t xml:space="preserve">广告新建</x:t>
        </x:is>
      </x:c>
      <x:c r="C53" s="4" t="inlineStr">
        <x:is>
          <x:t xml:space="preserve">SD Campaign创建—标准处理</x:t>
        </x:is>
      </x:c>
      <x:c r="D53" s="14" t="n">
        <x:v>15</x:v>
      </x:c>
      <x:c r="E53" s="4" t="inlineStr">
        <x:is>
          <x:t xml:space="preserve">实际独立Campaign。</x:t>
        </x:is>
      </x:c>
      <x:c r="F53" s="4" t="inlineStr">
        <x:is>
          <x:t xml:space="preserve">方案及素材已明确，完成一个SD Campaign创建核验。</x:t>
        </x:is>
      </x:c>
      <x:c r="G53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53" s="4" t="inlineStr">
        <x:is>
          <x:t xml:space="preserve">标准配置之外可能包含受众及素材适配判断。</x:t>
        </x:is>
      </x:c>
      <x:c r="I53" s="9" t="n"/>
      <x:c r="J53" s="4" t="inlineStr">
        <x:is>
          <x:t xml:space="preserve">广告新建</x:t>
        </x:is>
      </x:c>
      <x:c r="K53" s="4" t="n">
        <x:f>'主动改善评价'!C9</x:f>
        <x:v>2</x:v>
      </x:c>
      <x:c r="L53" s="16" t="n">
        <x:f>D53*K53</x:f>
        <x:v>30</x:v>
      </x:c>
    </x:row>
    <x:row r="54" ht="85" customHeight="1">
      <x:c r="A54" s="8" t="inlineStr">
        <x:is>
          <x:t xml:space="preserve">P023-T5</x:t>
        </x:is>
      </x:c>
      <x:c r="B54" s="8" t="inlineStr">
        <x:is>
          <x:t xml:space="preserve">广告新建</x:t>
        </x:is>
      </x:c>
      <x:c r="C54" s="8" t="inlineStr">
        <x:is>
          <x:t xml:space="preserve">SD Campaign创建—25元档</x:t>
        </x:is>
      </x:c>
      <x:c r="D54" s="14" t="n">
        <x:v>25</x:v>
      </x:c>
      <x:c r="E54" s="8" t="inlineStr">
        <x:is>
          <x:t xml:space="preserve">实际独立Campaign。</x:t>
        </x:is>
      </x:c>
      <x:c r="F54" s="8" t="inlineStr">
        <x:is>
          <x:t xml:space="preserve">在完成该项目基本交付的基础上：需自行比较受众或投放方式并制定有依据的方案。</x:t>
        </x:is>
      </x:c>
      <x:c r="G54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54" s="8" t="inlineStr">
        <x:is>
          <x:t xml:space="preserve">原升降档条件独立列行，沿用原25元标准；不是新增累计任务。</x:t>
        </x:is>
      </x:c>
      <x:c r="I54" s="9" t="n"/>
      <x:c r="J54" s="8" t="inlineStr">
        <x:is>
          <x:t xml:space="preserve">广告新建</x:t>
        </x:is>
      </x:c>
      <x:c r="K54" s="8" t="n">
        <x:f>'主动改善评价'!C9</x:f>
        <x:v>2</x:v>
      </x:c>
      <x:c r="L54" s="15" t="n">
        <x:f>D54*K54</x:f>
        <x:v>50</x:v>
      </x:c>
    </x:row>
    <x:row r="55" ht="85" customHeight="1">
      <x:c r="A55" s="4" t="inlineStr">
        <x:is>
          <x:t xml:space="preserve">P024-a</x:t>
        </x:is>
      </x:c>
      <x:c r="B55" s="4" t="inlineStr">
        <x:is>
          <x:t xml:space="preserve">广告调整</x:t>
        </x:is>
      </x:c>
      <x:c r="C55" s="4" t="inlineStr">
        <x:is>
          <x:t xml:space="preserve">广告优化—按明确指令调整</x:t>
        </x:is>
      </x:c>
      <x:c r="D55" s="14" t="n">
        <x:v>10</x:v>
      </x:c>
      <x:c r="E55" s="4" t="inlineStr">
        <x:is>
          <x:t xml:space="preserve">同账户、同站点、同Campaign的一轮优化；六档互斥，不按每次点击分别计。</x:t>
        </x:is>
      </x:c>
      <x:c r="F55" s="4" t="inlineStr">
        <x:is>
          <x:t xml:space="preserve">负责人已明确对象和具体动作，员工执行并核验。</x:t>
        </x:is>
      </x:c>
      <x:c r="G55" s="4" t="inlineStr">
        <x:is>
          <x:t xml:space="preserve">同Campaign同轮只取最高档；受派/主动均×1，每自然周最多2次有效调整，跨人员与来源合并，复盘和升级不算新次数。同一成果不跨周重领。广告任务与成果奖按同案累计总额补差，详见广告优化规则。</x:t>
        </x:is>
      </x:c>
      <x:c r="H55" s="4" t="inlineStr">
        <x:is>
          <x:t xml:space="preserve">按明确指令调整：按实际分析及验证结果选档，不按动作数量机械累计；否定投放取得高档效果也可升级。</x:t>
        </x:is>
      </x:c>
      <x:c r="I55" s="9" t="n"/>
      <x:c r="J55" s="4" t="inlineStr">
        <x:is>
          <x:t xml:space="preserve">广告调整</x:t>
        </x:is>
      </x:c>
      <x:c r="K55" s="4" t="n">
        <x:f>'主动改善评价'!C10</x:f>
        <x:v>1</x:v>
      </x:c>
      <x:c r="L55" s="16" t="n">
        <x:f>D55*K55</x:f>
        <x:v>10</x:v>
      </x:c>
    </x:row>
    <x:row r="56" ht="85" customHeight="1">
      <x:c r="A56" s="8" t="inlineStr">
        <x:is>
          <x:t xml:space="preserve">P024-b</x:t>
        </x:is>
      </x:c>
      <x:c r="B56" s="8" t="inlineStr">
        <x:is>
          <x:t xml:space="preserve">广告调整</x:t>
        </x:is>
      </x:c>
      <x:c r="C56" s="8" t="inlineStr">
        <x:is>
          <x:t xml:space="preserve">广告优化—常规减少无效花费</x:t>
        </x:is>
      </x:c>
      <x:c r="D56" s="14" t="n">
        <x:v>15</x:v>
      </x:c>
      <x:c r="E56" s="8" t="inlineStr">
        <x:is>
          <x:t xml:space="preserve">同账户、同站点、同Campaign的一轮优化；六档互斥，不按每次点击分别计。</x:t>
        </x:is>
      </x:c>
      <x:c r="F56" s="8" t="inlineStr">
        <x:is>
          <x:t xml:space="preserve">根据无效花费数据完成否定关键词/ASIN、暂停无效投放或降低Bid，并复查。</x:t>
        </x:is>
      </x:c>
      <x:c r="G56" s="8" t="inlineStr">
        <x:is>
          <x:t xml:space="preserve">同Campaign同轮只取最高档；受派/主动均×1，每自然周最多2次有效调整，跨人员与来源合并，复盘和升级不算新次数。同一成果不跨周重领。广告任务与成果奖按同案累计总额补差，详见广告优化规则。</x:t>
        </x:is>
      </x:c>
      <x:c r="H56" s="8" t="inlineStr">
        <x:is>
          <x:t xml:space="preserve">常规减少无效花费：按实际分析及验证结果选档，不按动作数量机械累计；否定投放取得高档效果也可升级。</x:t>
        </x:is>
      </x:c>
      <x:c r="I56" s="9" t="n"/>
      <x:c r="J56" s="8" t="inlineStr">
        <x:is>
          <x:t xml:space="preserve">广告调整</x:t>
        </x:is>
      </x:c>
      <x:c r="K56" s="8" t="n">
        <x:f>'主动改善评价'!C10</x:f>
        <x:v>1</x:v>
      </x:c>
      <x:c r="L56" s="15" t="n">
        <x:f>D56*K56</x:f>
        <x:v>15</x:v>
      </x:c>
    </x:row>
    <x:row r="57" ht="85" customHeight="1">
      <x:c r="A57" s="4" t="inlineStr">
        <x:is>
          <x:t xml:space="preserve">P024-c</x:t>
        </x:is>
      </x:c>
      <x:c r="B57" s="4" t="inlineStr">
        <x:is>
          <x:t xml:space="preserve">广告调整</x:t>
        </x:is>
      </x:c>
      <x:c r="C57" s="4" t="inlineStr">
        <x:is>
          <x:t xml:space="preserve">广告优化—独立分析并实施优化</x:t>
        </x:is>
      </x:c>
      <x:c r="D57" s="14" t="n">
        <x:v>25</x:v>
      </x:c>
      <x:c r="E57" s="4" t="inlineStr">
        <x:is>
          <x:t xml:space="preserve">同账户、同站点、同Campaign的一轮优化；六档互斥，不按每次点击分别计。</x:t>
        </x:is>
      </x:c>
      <x:c r="F57" s="4" t="inlineStr">
        <x:is>
          <x:t xml:space="preserve">员工自行诊断问题、制定方案、实施并复盘；尚未证明明显改善，或合理测试未达预期。</x:t>
        </x:is>
      </x:c>
      <x:c r="G57" s="4" t="inlineStr">
        <x:is>
          <x:t xml:space="preserve">同Campaign同轮只取最高档；受派/主动均×1，每自然周最多2次有效调整，跨人员与来源合并，复盘和升级不算新次数。同一成果不跨周重领。广告任务与成果奖按同案累计总额补差，详见广告优化规则。</x:t>
        </x:is>
      </x:c>
      <x:c r="H57" s="4" t="inlineStr">
        <x:is>
          <x:t xml:space="preserve">独立分析并实施优化：按实际分析及验证结果选档，不按动作数量机械累计；否定投放取得高档效果也可升级。</x:t>
        </x:is>
      </x:c>
      <x:c r="I57" s="9" t="n"/>
      <x:c r="J57" s="4" t="inlineStr">
        <x:is>
          <x:t xml:space="preserve">广告调整</x:t>
        </x:is>
      </x:c>
      <x:c r="K57" s="4" t="n">
        <x:f>'主动改善评价'!C10</x:f>
        <x:v>1</x:v>
      </x:c>
      <x:c r="L57" s="16" t="n">
        <x:f>D57*K57</x:f>
        <x:v>25</x:v>
      </x:c>
    </x:row>
    <x:row r="58" ht="85" customHeight="1">
      <x:c r="A58" s="8" t="inlineStr">
        <x:is>
          <x:t xml:space="preserve">P024-d</x:t>
        </x:is>
      </x:c>
      <x:c r="B58" s="8" t="inlineStr">
        <x:is>
          <x:t xml:space="preserve">广告调整</x:t>
        </x:is>
      </x:c>
      <x:c r="C58" s="8" t="inlineStr">
        <x:is>
          <x:t xml:space="preserve">广告优化—有效改善广告效率</x:t>
        </x:is>
      </x:c>
      <x:c r="D58" s="14" t="n">
        <x:v>40</x:v>
      </x:c>
      <x:c r="E58" s="8" t="inlineStr">
        <x:is>
          <x:t xml:space="preserve">同账户、同站点、同Campaign的一轮优化；六档互斥，不按每次点击分别计。</x:t>
        </x:is>
      </x:c>
      <x:c r="F58" s="8" t="inlineStr">
        <x:is>
          <x:t xml:space="preserve">在预先约定的对比与观察口径下ACOS下降，订单及销售额未明显萎缩；不是主要靠砍掉有效流量实现。</x:t>
        </x:is>
      </x:c>
      <x:c r="G58" s="8" t="inlineStr">
        <x:is>
          <x:t xml:space="preserve">同Campaign同轮只取最高档；受派/主动均×1，每自然周最多2次有效调整，跨人员与来源合并，复盘和升级不算新次数。同一成果不跨周重领。广告任务与成果奖按同案累计总额补差，详见广告优化规则。</x:t>
        </x:is>
      </x:c>
      <x:c r="H58" s="8" t="inlineStr">
        <x:is>
          <x:t xml:space="preserve">有效改善广告效率：按实际分析及验证结果选档，不按动作数量机械累计；否定投放取得高档效果也可升级。</x:t>
        </x:is>
      </x:c>
      <x:c r="I58" s="9" t="n"/>
      <x:c r="J58" s="8" t="inlineStr">
        <x:is>
          <x:t xml:space="preserve">广告调整</x:t>
        </x:is>
      </x:c>
      <x:c r="K58" s="8" t="n">
        <x:f>'主动改善评价'!C10</x:f>
        <x:v>1</x:v>
      </x:c>
      <x:c r="L58" s="15" t="n">
        <x:f>D58*K58</x:f>
        <x:v>40</x:v>
      </x:c>
    </x:row>
    <x:row r="59" ht="85" customHeight="1">
      <x:c r="A59" s="4" t="inlineStr">
        <x:is>
          <x:t xml:space="preserve">P024-e</x:t>
        </x:is>
      </x:c>
      <x:c r="B59" s="4" t="inlineStr">
        <x:is>
          <x:t xml:space="preserve">广告调整</x:t>
        </x:is>
      </x:c>
      <x:c r="C59" s="4" t="inlineStr">
        <x:is>
          <x:t xml:space="preserve">广告优化—有效扩大销售</x:t>
        </x:is>
      </x:c>
      <x:c r="D59" s="14" t="n">
        <x:v>50</x:v>
      </x:c>
      <x:c r="E59" s="4" t="inlineStr">
        <x:is>
          <x:t xml:space="preserve">同账户、同站点、同Campaign的一轮优化；六档互斥，不按每次点击分别计。</x:t>
        </x:is>
      </x:c>
      <x:c r="F59" s="4" t="inlineStr">
        <x:is>
          <x:t xml:space="preserve">通过调整Bid、增加关键词或商品投放等，使订单或销售额明显增长，ACOS维持在约定可接受范围；核对产品整体销售，排除主要为Campaign间订单转移。</x:t>
        </x:is>
      </x:c>
      <x:c r="G59" s="4" t="inlineStr">
        <x:is>
          <x:t xml:space="preserve">同Campaign同轮只取最高档；受派/主动均×1，每自然周最多2次有效调整，跨人员与来源合并，复盘和升级不算新次数。同一成果不跨周重领。广告任务与成果奖按同案累计总额补差，详见广告优化规则。</x:t>
        </x:is>
      </x:c>
      <x:c r="H59" s="4" t="inlineStr">
        <x:is>
          <x:t xml:space="preserve">有效扩大销售：按实际分析及验证结果选档，不按动作数量机械累计；否定投放取得高档效果也可升级。</x:t>
        </x:is>
      </x:c>
      <x:c r="I59" s="9" t="n"/>
      <x:c r="J59" s="4" t="inlineStr">
        <x:is>
          <x:t xml:space="preserve">广告调整</x:t>
        </x:is>
      </x:c>
      <x:c r="K59" s="4" t="n">
        <x:f>'主动改善评价'!C10</x:f>
        <x:v>1</x:v>
      </x:c>
      <x:c r="L59" s="16" t="n">
        <x:f>D59*K59</x:f>
        <x:v>50</x:v>
      </x:c>
    </x:row>
    <x:row r="60" ht="85" customHeight="1">
      <x:c r="A60" s="8" t="inlineStr">
        <x:is>
          <x:t xml:space="preserve">P024-f</x:t>
        </x:is>
      </x:c>
      <x:c r="B60" s="8" t="inlineStr">
        <x:is>
          <x:t xml:space="preserve">广告调整</x:t>
        </x:is>
      </x:c>
      <x:c r="C60" s="8" t="inlineStr">
        <x:is>
          <x:t xml:space="preserve">广告优化—持续、显著的改善</x:t>
        </x:is>
      </x:c>
      <x:c r="D60" s="14" t="n">
        <x:v>75</x:v>
      </x:c>
      <x:c r="E60" s="8" t="inlineStr">
        <x:is>
          <x:t xml:space="preserve">同账户、同站点、同Campaign的一轮优化；六档互斥，不按每次点击分别计。</x:t>
        </x:is>
      </x:c>
      <x:c r="F60" s="8" t="inlineStr">
        <x:is>
          <x:t xml:space="preserve">优化带来明显增量，效率或利润符合目标，并在后续约定观察期持续有效；有证据支持本次优化贡献。</x:t>
        </x:is>
      </x:c>
      <x:c r="G60" s="8" t="inlineStr">
        <x:is>
          <x:t xml:space="preserve">同Campaign同轮只取最高档；受派/主动均×1，每自然周最多2次有效调整，跨人员与来源合并，复盘和升级不算新次数。同一成果不跨周重领。广告任务与成果奖按同案累计总额补差，详见广告优化规则。</x:t>
        </x:is>
      </x:c>
      <x:c r="H60" s="8" t="inlineStr">
        <x:is>
          <x:t xml:space="preserve">持续、显著的改善：按实际分析及验证结果选档，不按动作数量机械累计；否定投放取得高档效果也可升级。</x:t>
        </x:is>
      </x:c>
      <x:c r="I60" s="9" t="n"/>
      <x:c r="J60" s="8" t="inlineStr">
        <x:is>
          <x:t xml:space="preserve">广告调整</x:t>
        </x:is>
      </x:c>
      <x:c r="K60" s="8" t="n">
        <x:f>'主动改善评价'!C10</x:f>
        <x:v>1</x:v>
      </x:c>
      <x:c r="L60" s="15" t="n">
        <x:f>D60*K60</x:f>
        <x:v>75</x:v>
      </x:c>
    </x:row>
    <x:row r="61" ht="85" customHeight="1">
      <x:c r="A61" s="4" t="inlineStr">
        <x:is>
          <x:t xml:space="preserve">P025-a</x:t>
        </x:is>
      </x:c>
      <x:c r="B61" s="4" t="inlineStr">
        <x:is>
          <x:t xml:space="preserve">Listing异常</x:t>
        </x:is>
      </x:c>
      <x:c r="C61" s="4" t="inlineStr">
        <x:is>
          <x:t xml:space="preserve">Listing异常处理—已有依据执行</x:t>
        </x:is>
      </x:c>
      <x:c r="D61" s="14" t="n">
        <x:v>10</x:v>
      </x:c>
      <x:c r="E61" s="4" t="inlineStr">
        <x:is>
          <x:t xml:space="preserve">同站点、同原因、共用证据及方案的一批问题；确需分别处理按去重ASIN附加5元。同ASIN多个SKU只计一个。</x:t>
        </x:is>
      </x:c>
      <x:c r="F61" s="4" t="inlineStr">
        <x:is>
          <x:t xml:space="preserve">原因、可用证据及处理要求已明确，整理提交申诉或Case、跟进并核验。同站点同原因、共用证据方案且可合并处理的一批ASIN共计10元。</x:t>
        </x:is>
      </x:c>
      <x:c r="G61" s="4" t="inlineStr">
        <x:is>
          <x:t xml:space="preserve">同因可合并的ASIN按一批计基础档；确需分别处理的额外执行选P025-ADD。同批基础档互斥，升级只补差额；自行拆Case、同ASIN多SKU及反复提交不加价。详见Listing异常合批规则。</x:t>
        </x:is>
      </x:c>
      <x:c r="H61" s="4" t="inlineStr">
        <x:is>
          <x:t xml:space="preserve">已有依据的处理执行按10元基础档；共用工作计一次，必要的逐ASIN执行每增加一个加5元。</x:t>
        </x:is>
      </x:c>
      <x:c r="I61" s="9" t="n"/>
      <x:c r="J61" s="4" t="inlineStr">
        <x:is>
          <x:t xml:space="preserve">异常处理／申诉</x:t>
        </x:is>
      </x:c>
      <x:c r="K61" s="4" t="n">
        <x:f>'主动改善评价'!C11</x:f>
        <x:v>1.5</x:v>
      </x:c>
      <x:c r="L61" s="16" t="n">
        <x:f>D61*K61</x:f>
        <x:v>15</x:v>
      </x:c>
    </x:row>
    <x:row r="62" ht="85" customHeight="1">
      <x:c r="A62" s="8" t="inlineStr">
        <x:is>
          <x:t xml:space="preserve">P025-b</x:t>
        </x:is>
      </x:c>
      <x:c r="B62" s="8" t="inlineStr">
        <x:is>
          <x:t xml:space="preserve">Listing异常</x:t>
        </x:is>
      </x:c>
      <x:c r="C62" s="8" t="inlineStr">
        <x:is>
          <x:t xml:space="preserve">Listing异常处理—独立排查取证</x:t>
        </x:is>
      </x:c>
      <x:c r="D62" s="14" t="n">
        <x:v>20</x:v>
      </x:c>
      <x:c r="E62" s="8" t="inlineStr">
        <x:is>
          <x:t xml:space="preserve">同站点、同原因、共用证据及方案的一批问题；确需分别处理按去重ASIN附加5元。同ASIN多个SKU只计一个。</x:t>
        </x:is>
      </x:c>
      <x:c r="F62" s="8" t="inlineStr">
        <x:is>
          <x:t xml:space="preserve">自行排查原因、核对资料、收集证据并制定方案，完成申诉、跟进及核验。同站点同原因、共用证据方案且可合并处理的一批ASIN共计20元。</x:t>
        </x:is>
      </x:c>
      <x:c r="G62" s="8" t="inlineStr">
        <x:is>
          <x:t xml:space="preserve">同因可合并的ASIN按一批计基础档；确需分别处理的额外执行选P025-ADD。同批基础档互斥，升级只补差额；自行拆Case、同ASIN多SKU及反复提交不加价。详见Listing异常合批规则。</x:t>
        </x:is>
      </x:c>
      <x:c r="H62" s="8" t="inlineStr">
        <x:is>
          <x:t xml:space="preserve">独立排查取证基础档20元；同原因的排查成果计一次，真实额外执行按每个ASIN加5元。</x:t>
        </x:is>
      </x:c>
      <x:c r="I62" s="9" t="n"/>
      <x:c r="J62" s="8" t="inlineStr">
        <x:is>
          <x:t xml:space="preserve">异常处理／申诉</x:t>
        </x:is>
      </x:c>
      <x:c r="K62" s="8" t="n">
        <x:f>'主动改善评价'!C11</x:f>
        <x:v>1.5</x:v>
      </x:c>
      <x:c r="L62" s="15" t="n">
        <x:f>D62*K62</x:f>
        <x:v>30</x:v>
      </x:c>
    </x:row>
    <x:row r="63" ht="85" customHeight="1">
      <x:c r="A63" s="4" t="inlineStr">
        <x:is>
          <x:t xml:space="preserve">P025-ADD</x:t>
        </x:is>
      </x:c>
      <x:c r="B63" s="4" t="inlineStr">
        <x:is>
          <x:t xml:space="preserve">Listing异常</x:t>
        </x:is>
      </x:c>
      <x:c r="C63" s="4" t="inlineStr">
        <x:is>
          <x:t xml:space="preserve">Listing异常—必要逐ASIN处理附加</x:t>
        </x:is>
      </x:c>
      <x:c r="D63" s="14" t="n">
        <x:v>5</x:v>
      </x:c>
      <x:c r="E63" s="4" t="inlineStr">
        <x:is>
          <x:t xml:space="preserve">每个额外必要处理的去重ASIN；首个已含在10/20元基础档中。</x:t>
        </x:is>
      </x:c>
      <x:c r="F63" s="4" t="inlineStr">
        <x:is>
          <x:t xml:space="preserve">同因、共用证据与排查，但平台要求逐ASIN分别提交、跟进及核验。附加数量=max(实际必要逐ASIN处理数－1,0)；混合批次按专项处理单元规则。</x:t>
        </x:is>
      </x:c>
      <x:c r="G63" s="4" t="inlineStr">
        <x:is>
          <x:t xml:space="preserve">这是执行附加项，不是另一个基础档；必须关联P025-a或P025-b的同一批次。可以合并却自行拆Case不计；单ASIN反复提交不计。</x:t>
        </x:is>
      </x:c>
      <x:c r="H63" s="4" t="inlineStr">
        <x:is>
          <x:t xml:space="preserve">将已确认每额外ASIN加5元明确列行，原公式及合批范围不变。</x:t>
        </x:is>
      </x:c>
      <x:c r="I63" s="9" t="n"/>
      <x:c r="J63" s="4" t="inlineStr">
        <x:is>
          <x:t xml:space="preserve">异常处理／申诉</x:t>
        </x:is>
      </x:c>
      <x:c r="K63" s="4" t="n">
        <x:f>'主动改善评价'!C11</x:f>
        <x:v>1.5</x:v>
      </x:c>
      <x:c r="L63" s="16" t="n">
        <x:f>D63*K63</x:f>
        <x:v>7.5</x:v>
      </x:c>
    </x:row>
    <x:row r="64" ht="85" customHeight="1">
      <x:c r="A64" s="8" t="inlineStr">
        <x:is>
          <x:t xml:space="preserve">P026</x:t>
        </x:is>
      </x:c>
      <x:c r="B64" s="8" t="inlineStr">
        <x:is>
          <x:t xml:space="preserve">Brand Store</x:t>
        </x:is>
      </x:c>
      <x:c r="C64" s="8" t="inlineStr">
        <x:is>
          <x:t xml:space="preserve">二级类目商品维护—标准处理</x:t>
        </x:is>
      </x:c>
      <x:c r="D64" s="14" t="n">
        <x:v>10</x:v>
      </x:c>
      <x:c r="E64" s="8" t="inlineStr">
        <x:is>
          <x:t xml:space="preserve">一个二级类目的一次更新需求。</x:t>
        </x:is>
      </x:c>
      <x:c r="F64" s="8" t="inlineStr">
        <x:is>
          <x:t xml:space="preserve">一个二级类目内，在已有模块直接增删或替换商品并核验。</x:t>
        </x:is>
      </x:c>
      <x:c r="G64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64" s="8" t="inlineStr">
        <x:is>
          <x:t xml:space="preserve">以标准商品维护为主，不涉及页面构思。</x:t>
        </x:is>
      </x:c>
      <x:c r="I64" s="9" t="n"/>
      <x:c r="J64" s="8" t="inlineStr">
        <x:is>
          <x:t xml:space="preserve">Brand Store维护</x:t>
        </x:is>
      </x:c>
      <x:c r="K64" s="8" t="n">
        <x:f>'主动改善评价'!C14</x:f>
        <x:v>1.5</x:v>
      </x:c>
      <x:c r="L64" s="15" t="n">
        <x:f>D64*K64</x:f>
        <x:v>15</x:v>
      </x:c>
    </x:row>
    <x:row r="65" ht="85" customHeight="1">
      <x:c r="A65" s="4" t="inlineStr">
        <x:is>
          <x:t xml:space="preserve">P026-T3</x:t>
        </x:is>
      </x:c>
      <x:c r="B65" s="4" t="inlineStr">
        <x:is>
          <x:t xml:space="preserve">Brand Store</x:t>
        </x:is>
      </x:c>
      <x:c r="C65" s="4" t="inlineStr">
        <x:is>
          <x:t xml:space="preserve">二级类目商品维护—15元档</x:t>
        </x:is>
      </x:c>
      <x:c r="D65" s="14" t="n">
        <x:v>15</x:v>
      </x:c>
      <x:c r="E65" s="4" t="inlineStr">
        <x:is>
          <x:t xml:space="preserve">一个二级类目的一次更新需求。</x:t>
        </x:is>
      </x:c>
      <x:c r="F65" s="4" t="inlineStr">
        <x:is>
          <x:t xml:space="preserve">在完成该项目基本交付的基础上：工具限制导致必须逐项核对并处理多个不同展示位置；需要重建模块转P027。</x:t>
        </x:is>
      </x:c>
      <x:c r="G65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65" s="4" t="inlineStr">
        <x:is>
          <x:t xml:space="preserve">原升降档条件独立列行，沿用原15元标准；不是新增累计任务。</x:t>
        </x:is>
      </x:c>
      <x:c r="I65" s="9" t="n"/>
      <x:c r="J65" s="4" t="inlineStr">
        <x:is>
          <x:t xml:space="preserve">Brand Store维护</x:t>
        </x:is>
      </x:c>
      <x:c r="K65" s="4" t="n">
        <x:f>'主动改善评价'!C14</x:f>
        <x:v>1.5</x:v>
      </x:c>
      <x:c r="L65" s="16" t="n">
        <x:f>D65*K65</x:f>
        <x:v>22.5</x:v>
      </x:c>
    </x:row>
    <x:row r="66" ht="85" customHeight="1">
      <x:c r="A66" s="8" t="inlineStr">
        <x:is>
          <x:t xml:space="preserve">P027</x:t>
        </x:is>
      </x:c>
      <x:c r="B66" s="8" t="inlineStr">
        <x:is>
          <x:t xml:space="preserve">Brand Store</x:t>
        </x:is>
      </x:c>
      <x:c r="C66" s="8" t="inlineStr">
        <x:is>
          <x:t xml:space="preserve">二级类目模块新增或重建</x:t>
        </x:is>
      </x:c>
      <x:c r="D66" s="14" t="n">
        <x:v>25</x:v>
      </x:c>
      <x:c r="E66" s="8" t="inlineStr">
        <x:is>
          <x:t xml:space="preserve">一个二级类目的一次重建需求。</x:t>
        </x:is>
      </x:c>
      <x:c r="F66" s="8" t="inlineStr">
        <x:is>
          <x:t xml:space="preserve">一个二级类目确需新增或重建模块并重新安排展示。</x:t>
        </x:is>
      </x:c>
      <x:c r="G66" s="8" t="inlineStr">
        <x:is>
          <x:t xml:space="preserve">常规运营本项最高25元；复杂情况仍须完成约定核查及交付，不因SKU数、操作次数或等待增加档位。需要独立数据分析时先明确新交付，同一分析及执行成果不重复计酬。</x:t>
        </x:is>
      </x:c>
      <x:c r="H66" s="8" t="inlineStr">
        <x:is>
          <x:t xml:space="preserve">包含布局及模块适配判断，明显高于直接增删商品。</x:t>
        </x:is>
      </x:c>
      <x:c r="I66" s="9" t="n"/>
      <x:c r="J66" s="8" t="inlineStr">
        <x:is>
          <x:t xml:space="preserve">Brand Store维护</x:t>
        </x:is>
      </x:c>
      <x:c r="K66" s="8" t="n">
        <x:f>'主动改善评价'!C14</x:f>
        <x:v>1.5</x:v>
      </x:c>
      <x:c r="L66" s="15" t="n">
        <x:f>D66*K66</x:f>
        <x:v>37.5</x:v>
      </x:c>
    </x:row>
    <x:row r="67" ht="85" customHeight="1">
      <x:c r="A67" s="4" t="inlineStr">
        <x:is>
          <x:t xml:space="preserve">P028</x:t>
        </x:is>
      </x:c>
      <x:c r="B67" s="4" t="inlineStr">
        <x:is>
          <x:t xml:space="preserve">Brand Store</x:t>
        </x:is>
      </x:c>
      <x:c r="C67" s="4" t="inlineStr">
        <x:is>
          <x:t xml:space="preserve">其他板块原有报错阻断提交—标准处理</x:t>
        </x:is>
      </x:c>
      <x:c r="D67" s="14" t="n">
        <x:v>15</x:v>
      </x:c>
      <x:c r="E67" s="4" t="inlineStr">
        <x:is>
          <x:t xml:space="preserve">一次独立提交任务的阻断处理。</x:t>
        </x:is>
      </x:c>
      <x:c r="F67" s="4" t="inlineStr">
        <x:is>
          <x:t xml:space="preserve">定位并修复本次范围外的原有报错，使一次提交恢复。</x:t>
        </x:is>
      </x:c>
      <x:c r="G67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67" s="4" t="inlineStr">
        <x:is>
          <x:t xml:space="preserve">属于额外问题定位；本人造成的错误不算新增工作。</x:t>
        </x:is>
      </x:c>
      <x:c r="I67" s="9" t="n"/>
      <x:c r="J67" s="4" t="inlineStr">
        <x:is>
          <x:t xml:space="preserve">异常处理／申诉</x:t>
        </x:is>
      </x:c>
      <x:c r="K67" s="4" t="n">
        <x:f>'主动改善评价'!C11</x:f>
        <x:v>1.5</x:v>
      </x:c>
      <x:c r="L67" s="16" t="n">
        <x:f>D67*K67</x:f>
        <x:v>22.5</x:v>
      </x:c>
    </x:row>
    <x:row r="68" ht="85" customHeight="1">
      <x:c r="A68" s="8" t="inlineStr">
        <x:is>
          <x:t xml:space="preserve">P028-T5</x:t>
        </x:is>
      </x:c>
      <x:c r="B68" s="8" t="inlineStr">
        <x:is>
          <x:t xml:space="preserve">Brand Store</x:t>
        </x:is>
      </x:c>
      <x:c r="C68" s="8" t="inlineStr">
        <x:is>
          <x:t xml:space="preserve">其他板块原有报错阻断提交—25元档</x:t>
        </x:is>
      </x:c>
      <x:c r="D68" s="14" t="n">
        <x:v>25</x:v>
      </x:c>
      <x:c r="E68" s="8" t="inlineStr">
        <x:is>
          <x:t xml:space="preserve">一次独立提交任务的阻断处理。</x:t>
        </x:is>
      </x:c>
      <x:c r="F68" s="8" t="inlineStr">
        <x:is>
          <x:t xml:space="preserve">在完成该项目基本交付的基础上：多个原有问题相互影响，需排查并协调正确资料后修复。</x:t>
        </x:is>
      </x:c>
      <x:c r="G68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68" s="8" t="inlineStr">
        <x:is>
          <x:t xml:space="preserve">原升降档条件独立列行，沿用原25元标准；不是新增累计任务。</x:t>
        </x:is>
      </x:c>
      <x:c r="I68" s="9" t="n"/>
      <x:c r="J68" s="8" t="inlineStr">
        <x:is>
          <x:t xml:space="preserve">异常处理／申诉</x:t>
        </x:is>
      </x:c>
      <x:c r="K68" s="8" t="n">
        <x:f>'主动改善评价'!C11</x:f>
        <x:v>1.5</x:v>
      </x:c>
      <x:c r="L68" s="15" t="n">
        <x:f>D68*K68</x:f>
        <x:v>37.5</x:v>
      </x:c>
    </x:row>
    <x:row r="69" ht="85" customHeight="1">
      <x:c r="A69" s="4" t="inlineStr">
        <x:is>
          <x:t xml:space="preserve">P029</x:t>
        </x:is>
      </x:c>
      <x:c r="B69" s="4" t="inlineStr">
        <x:is>
          <x:t xml:space="preserve">数据报表</x:t>
        </x:is>
      </x:c>
      <x:c r="C69" s="4" t="inlineStr">
        <x:is>
          <x:t xml:space="preserve">每周VOC数据更新与AI分析—标准处理</x:t>
        </x:is>
      </x:c>
      <x:c r="D69" s="14" t="n">
        <x:v>10</x:v>
      </x:c>
      <x:c r="E69" s="4" t="inlineStr">
        <x:is>
          <x:t xml:space="preserve">一个约定自然周的完整处理任务。</x:t>
        </x:is>
      </x:c>
      <x:c r="F69" s="4" t="inlineStr">
        <x:is>
          <x:t xml:space="preserve">完成一个约定周的数据下载、入库、AI运行及基本核验。</x:t>
        </x:is>
      </x:c>
      <x:c r="G69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69" s="4" t="inlineStr">
        <x:is>
          <x:t xml:space="preserve">例行数据处理为主，运行AI不等于独立分析。</x:t>
        </x:is>
      </x:c>
      <x:c r="I69" s="9" t="n"/>
      <x:c r="J69" s="4" t="inlineStr">
        <x:is>
          <x:t xml:space="preserve">固定例行工作</x:t>
        </x:is>
      </x:c>
      <x:c r="K69" s="4" t="n">
        <x:f>'主动改善评价'!C15</x:f>
        <x:v>1</x:v>
      </x:c>
      <x:c r="L69" s="16" t="n">
        <x:f>D69*K69</x:f>
        <x:v>10</x:v>
      </x:c>
    </x:row>
    <x:row r="70" ht="85" customHeight="1">
      <x:c r="A70" s="8" t="inlineStr">
        <x:is>
          <x:t xml:space="preserve">P029-T3</x:t>
        </x:is>
      </x:c>
      <x:c r="B70" s="8" t="inlineStr">
        <x:is>
          <x:t xml:space="preserve">数据报表</x:t>
        </x:is>
      </x:c>
      <x:c r="C70" s="8" t="inlineStr">
        <x:is>
          <x:t xml:space="preserve">每周VOC数据更新与AI分析—15元档</x:t>
        </x:is>
      </x:c>
      <x:c r="D70" s="14" t="n">
        <x:v>15</x:v>
      </x:c>
      <x:c r="E70" s="8" t="inlineStr">
        <x:is>
          <x:t xml:space="preserve">一个约定自然周的完整处理任务。</x:t>
        </x:is>
      </x:c>
      <x:c r="F70" s="8" t="inlineStr">
        <x:is>
          <x:t xml:space="preserve">在完成该项目基本交付的基础上：真实格式或导入异常需人工核对修正；独立客户声音分析另界定交付。</x:t>
        </x:is>
      </x:c>
      <x:c r="G70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70" s="8" t="inlineStr">
        <x:is>
          <x:t xml:space="preserve">原升降档条件独立列行，沿用原15元标准；不是新增累计任务。</x:t>
        </x:is>
      </x:c>
      <x:c r="I70" s="9" t="n"/>
      <x:c r="J70" s="8" t="inlineStr">
        <x:is>
          <x:t xml:space="preserve">固定例行工作</x:t>
        </x:is>
      </x:c>
      <x:c r="K70" s="8" t="n">
        <x:f>'主动改善评价'!C15</x:f>
        <x:v>1</x:v>
      </x:c>
      <x:c r="L70" s="15" t="n">
        <x:f>D70*K70</x:f>
        <x:v>15</x:v>
      </x:c>
    </x:row>
    <x:row r="71" ht="85" customHeight="1">
      <x:c r="A71" s="4" t="inlineStr">
        <x:is>
          <x:t xml:space="preserve">P031</x:t>
        </x:is>
      </x:c>
      <x:c r="B71" s="4" t="inlineStr">
        <x:is>
          <x:t xml:space="preserve">客户声音</x:t>
        </x:is>
      </x:c>
      <x:c r="C71" s="4" t="inlineStr">
        <x:is>
          <x:t xml:space="preserve">产品质量共性问题整理与反馈—标准处理</x:t>
        </x:is>
      </x:c>
      <x:c r="D71" s="14" t="n">
        <x:v>20</x:v>
      </x:c>
      <x:c r="E71" s="4" t="inlineStr">
        <x:is>
          <x:t xml:space="preserve">一类独立共性问题。</x:t>
        </x:is>
      </x:c>
      <x:c r="F71" s="4" t="inlineStr">
        <x:is>
          <x:t xml:space="preserve">整理一类共性质量问题的证据、产品范围并反馈跟进。</x:t>
        </x:is>
      </x:c>
      <x:c r="G71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71" s="4" t="inlineStr">
        <x:is>
          <x:t xml:space="preserve">比直接转发反馈多出归类、事实核实和协调。</x:t>
        </x:is>
      </x:c>
      <x:c r="I71" s="9" t="n"/>
      <x:c r="J71" s="4" t="inlineStr">
        <x:is>
          <x:t xml:space="preserve">未明确列入的项目</x:t>
        </x:is>
      </x:c>
      <x:c r="K71" s="4" t="n">
        <x:f>'主动改善评价'!C16</x:f>
        <x:v>1</x:v>
      </x:c>
      <x:c r="L71" s="16" t="n">
        <x:f>D71*K71</x:f>
        <x:v>20</x:v>
      </x:c>
    </x:row>
    <x:row r="72" ht="85" customHeight="1">
      <x:c r="A72" s="8" t="inlineStr">
        <x:is>
          <x:t xml:space="preserve">P031-T5</x:t>
        </x:is>
      </x:c>
      <x:c r="B72" s="8" t="inlineStr">
        <x:is>
          <x:t xml:space="preserve">客户声音</x:t>
        </x:is>
      </x:c>
      <x:c r="C72" s="8" t="inlineStr">
        <x:is>
          <x:t xml:space="preserve">产品质量共性问题整理与反馈—25元档</x:t>
        </x:is>
      </x:c>
      <x:c r="D72" s="14" t="n">
        <x:v>25</x:v>
      </x:c>
      <x:c r="E72" s="8" t="inlineStr">
        <x:is>
          <x:t xml:space="preserve">一类独立共性问题。</x:t>
        </x:is>
      </x:c>
      <x:c r="F72" s="8" t="inlineStr">
        <x:is>
          <x:t xml:space="preserve">在完成该项目基本交付的基础上：需核实多来源记录或与产品负责人确认原因</x:t>
        </x:is>
      </x:c>
      <x:c r="G72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72" s="8" t="inlineStr">
        <x:is>
          <x:t xml:space="preserve">原升降档条件独立列行，沿用原25元标准；不是新增累计任务。</x:t>
        </x:is>
      </x:c>
      <x:c r="I72" s="9" t="n"/>
      <x:c r="J72" s="8" t="inlineStr">
        <x:is>
          <x:t xml:space="preserve">未明确列入的项目</x:t>
        </x:is>
      </x:c>
      <x:c r="K72" s="8" t="n">
        <x:f>'主动改善评价'!C16</x:f>
        <x:v>1</x:v>
      </x:c>
      <x:c r="L72" s="15" t="n">
        <x:f>D72*K72</x:f>
        <x:v>25</x:v>
      </x:c>
    </x:row>
    <x:row r="73" ht="85" customHeight="1">
      <x:c r="A73" s="4" t="inlineStr">
        <x:is>
          <x:t xml:space="preserve">P031-T10</x:t>
        </x:is>
      </x:c>
      <x:c r="B73" s="4" t="inlineStr">
        <x:is>
          <x:t xml:space="preserve">客户声音</x:t>
        </x:is>
      </x:c>
      <x:c r="C73" s="4" t="inlineStr">
        <x:is>
          <x:t xml:space="preserve">产品质量共性问题整理与反馈—50元档</x:t>
        </x:is>
      </x:c>
      <x:c r="D73" s="14" t="n">
        <x:v>50</x:v>
      </x:c>
      <x:c r="E73" s="4" t="inlineStr">
        <x:is>
          <x:t xml:space="preserve">一类独立共性问题。</x:t>
        </x:is>
      </x:c>
      <x:c r="F73" s="4" t="inlineStr">
        <x:is>
          <x:t xml:space="preserve">在完成该项目基本交付的基础上：另有独立系统分析与可执行改进方案交付，不能重复算开发验证。</x:t>
        </x:is>
      </x:c>
      <x:c r="G73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73" s="4" t="inlineStr">
        <x:is>
          <x:t xml:space="preserve">原升降档条件独立列行，沿用原50元标准；不是新增累计任务。</x:t>
        </x:is>
      </x:c>
      <x:c r="I73" s="9" t="n"/>
      <x:c r="J73" s="4" t="inlineStr">
        <x:is>
          <x:t xml:space="preserve">未明确列入的项目</x:t>
        </x:is>
      </x:c>
      <x:c r="K73" s="4" t="n">
        <x:f>'主动改善评价'!C16</x:f>
        <x:v>1</x:v>
      </x:c>
      <x:c r="L73" s="16" t="n">
        <x:f>D73*K73</x:f>
        <x:v>50</x:v>
      </x:c>
    </x:row>
    <x:row r="74" ht="85" customHeight="1">
      <x:c r="A74" s="8" t="inlineStr">
        <x:is>
          <x:t xml:space="preserve">P032</x:t>
        </x:is>
      </x:c>
      <x:c r="B74" s="8" t="inlineStr">
        <x:is>
          <x:t xml:space="preserve">库存配送</x:t>
        </x:is>
      </x:c>
      <x:c r="C74" s="8" t="inlineStr">
        <x:is>
          <x:t xml:space="preserve">FBA shipment问题处理</x:t>
        </x:is>
      </x:c>
      <x:c r="D74" s="14" t="n">
        <x:v>5</x:v>
      </x:c>
      <x:c r="E74" s="8" t="inlineStr">
        <x:is>
          <x:t xml:space="preserve">同一货件的同一问题。</x:t>
        </x:is>
      </x:c>
      <x:c r="F74" s="8" t="inlineStr">
        <x:is>
          <x:t xml:space="preserve">一个货件同一问题，查看后接受或提交常规Appeal并记录。</x:t>
        </x:is>
      </x:c>
      <x:c r="G74" s="8" t="inlineStr">
        <x:is>
          <x:t xml:space="preserve">超出简单流程的独立调查应先重写任务范围，不按重复点击或等待升档。</x:t>
        </x:is>
      </x:c>
      <x:c r="H74" s="8" t="inlineStr">
        <x:is>
          <x:t xml:space="preserve">按当前职责仅查看并接受或提交常规Appeal，步骤和判断有限，按5元。</x:t>
        </x:is>
      </x:c>
      <x:c r="I74" s="9" t="n"/>
      <x:c r="J74" s="8" t="inlineStr">
        <x:is>
          <x:t xml:space="preserve">未明确列入的项目</x:t>
        </x:is>
      </x:c>
      <x:c r="K74" s="8" t="n">
        <x:f>'主动改善评价'!C16</x:f>
        <x:v>1</x:v>
      </x:c>
      <x:c r="L74" s="15" t="n">
        <x:f>D74*K74</x:f>
        <x:v>5</x:v>
      </x:c>
    </x:row>
    <x:row r="75" ht="85" customHeight="1">
      <x:c r="A75" s="4" t="inlineStr">
        <x:is>
          <x:t xml:space="preserve">P033</x:t>
        </x:is>
      </x:c>
      <x:c r="B75" s="4" t="inlineStr">
        <x:is>
          <x:t xml:space="preserve">库存配送</x:t>
        </x:is>
      </x:c>
      <x:c r="C75" s="4" t="inlineStr">
        <x:is>
          <x:t xml:space="preserve">程序生成的冗余库存折扣上传—标准处理</x:t>
        </x:is>
      </x:c>
      <x:c r="D75" s="14" t="n">
        <x:v>10</x:v>
      </x:c>
      <x:c r="E75" s="4" t="inlineStr">
        <x:is>
          <x:t xml:space="preserve">同一次安排的一批上传。</x:t>
        </x:is>
      </x:c>
      <x:c r="F75" s="4" t="inlineStr">
        <x:is>
          <x:t xml:space="preserve">程序已给定SKU和折扣，完成一批上传及结果核验。</x:t>
        </x:is>
      </x:c>
      <x:c r="G75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75" s="4" t="inlineStr">
        <x:is>
          <x:t xml:space="preserve">不承担库存分析或策略，属于执行工作。</x:t>
        </x:is>
      </x:c>
      <x:c r="I75" s="9" t="n"/>
      <x:c r="J75" s="4" t="inlineStr">
        <x:is>
          <x:t xml:space="preserve">价格／促销／库存等执行类</x:t>
        </x:is>
      </x:c>
      <x:c r="K75" s="4" t="n">
        <x:f>'主动改善评价'!C13</x:f>
        <x:v>1.5</x:v>
      </x:c>
      <x:c r="L75" s="16" t="n">
        <x:f>D75*K75</x:f>
        <x:v>15</x:v>
      </x:c>
    </x:row>
    <x:row r="76" ht="85" customHeight="1">
      <x:c r="A76" s="8" t="inlineStr">
        <x:is>
          <x:t xml:space="preserve">P033-T3</x:t>
        </x:is>
      </x:c>
      <x:c r="B76" s="8" t="inlineStr">
        <x:is>
          <x:t xml:space="preserve">库存配送</x:t>
        </x:is>
      </x:c>
      <x:c r="C76" s="8" t="inlineStr">
        <x:is>
          <x:t xml:space="preserve">程序生成的冗余库存折扣上传—15元档</x:t>
        </x:is>
      </x:c>
      <x:c r="D76" s="14" t="n">
        <x:v>15</x:v>
      </x:c>
      <x:c r="E76" s="8" t="inlineStr">
        <x:is>
          <x:t xml:space="preserve">同一次安排的一批上传。</x:t>
        </x:is>
      </x:c>
      <x:c r="F76" s="8" t="inlineStr">
        <x:is>
          <x:t xml:space="preserve">在完成该项目基本交付的基础上：批量工具不支持，必须逐条手动处理；独立制定折扣不属于本项。</x:t>
        </x:is>
      </x:c>
      <x:c r="G76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76" s="8" t="inlineStr">
        <x:is>
          <x:t xml:space="preserve">原升降档条件独立列行，沿用原15元标准；不是新增累计任务。</x:t>
        </x:is>
      </x:c>
      <x:c r="I76" s="9" t="n"/>
      <x:c r="J76" s="8" t="inlineStr">
        <x:is>
          <x:t xml:space="preserve">价格／促销／库存等执行类</x:t>
        </x:is>
      </x:c>
      <x:c r="K76" s="8" t="n">
        <x:f>'主动改善评价'!C13</x:f>
        <x:v>1.5</x:v>
      </x:c>
      <x:c r="L76" s="15" t="n">
        <x:f>D76*K76</x:f>
        <x:v>22.5</x:v>
      </x:c>
    </x:row>
    <x:row r="77" ht="85" customHeight="1">
      <x:c r="A77" s="4" t="inlineStr">
        <x:is>
          <x:t xml:space="preserve">P034</x:t>
        </x:is>
      </x:c>
      <x:c r="B77" s="4" t="inlineStr">
        <x:is>
          <x:t xml:space="preserve">滞留库存</x:t>
        </x:is>
      </x:c>
      <x:c r="C77" s="4" t="inlineStr">
        <x:is>
          <x:t xml:space="preserve">库存移除—标准处理</x:t>
        </x:is>
      </x:c>
      <x:c r="D77" s="14" t="n">
        <x:v>10</x:v>
      </x:c>
      <x:c r="E77" s="4" t="inlineStr">
        <x:is>
          <x:t xml:space="preserve">同一次安排、同一处理方式的一批移除。</x:t>
        </x:is>
      </x:c>
      <x:c r="F77" s="4" t="inlineStr">
        <x:is>
          <x:t xml:space="preserve">按明确SKU、数量和处理方式创建一批移除订单。</x:t>
        </x:is>
      </x:c>
      <x:c r="G77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77" s="4" t="inlineStr">
        <x:is>
          <x:t xml:space="preserve">操作规范明确，重点是核对避免误移除。</x:t>
        </x:is>
      </x:c>
      <x:c r="I77" s="9" t="n"/>
      <x:c r="J77" s="4" t="inlineStr">
        <x:is>
          <x:t xml:space="preserve">价格／促销／库存等执行类</x:t>
        </x:is>
      </x:c>
      <x:c r="K77" s="4" t="n">
        <x:f>'主动改善评价'!C13</x:f>
        <x:v>1.5</x:v>
      </x:c>
      <x:c r="L77" s="16" t="n">
        <x:f>D77*K77</x:f>
        <x:v>15</x:v>
      </x:c>
    </x:row>
    <x:row r="78" ht="85" customHeight="1">
      <x:c r="A78" s="8" t="inlineStr">
        <x:is>
          <x:t xml:space="preserve">P034-T3</x:t>
        </x:is>
      </x:c>
      <x:c r="B78" s="8" t="inlineStr">
        <x:is>
          <x:t xml:space="preserve">滞留库存</x:t>
        </x:is>
      </x:c>
      <x:c r="C78" s="8" t="inlineStr">
        <x:is>
          <x:t xml:space="preserve">库存移除—15元档</x:t>
        </x:is>
      </x:c>
      <x:c r="D78" s="14" t="n">
        <x:v>15</x:v>
      </x:c>
      <x:c r="E78" s="8" t="inlineStr">
        <x:is>
          <x:t xml:space="preserve">同一次安排、同一处理方式的一批移除。</x:t>
        </x:is>
      </x:c>
      <x:c r="F78" s="8" t="inlineStr">
        <x:is>
          <x:t xml:space="preserve">在完成该项目基本交付的基础上：需核对并解决库存数量或商品对应差异；等待实际移除不升档。</x:t>
        </x:is>
      </x:c>
      <x:c r="G78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78" s="8" t="inlineStr">
        <x:is>
          <x:t xml:space="preserve">原升降档条件独立列行，沿用原15元标准；不是新增累计任务。</x:t>
        </x:is>
      </x:c>
      <x:c r="I78" s="9" t="n"/>
      <x:c r="J78" s="8" t="inlineStr">
        <x:is>
          <x:t xml:space="preserve">价格／促销／库存等执行类</x:t>
        </x:is>
      </x:c>
      <x:c r="K78" s="8" t="n">
        <x:f>'主动改善评价'!C13</x:f>
        <x:v>1.5</x:v>
      </x:c>
      <x:c r="L78" s="15" t="n">
        <x:f>D78*K78</x:f>
        <x:v>22.5</x:v>
      </x:c>
    </x:row>
    <x:row r="79" ht="85" customHeight="1">
      <x:c r="A79" s="4" t="inlineStr">
        <x:is>
          <x:t xml:space="preserve">P035</x:t>
        </x:is>
      </x:c>
      <x:c r="B79" s="4" t="inlineStr">
        <x:is>
          <x:t xml:space="preserve">滞留库存</x:t>
        </x:is>
      </x:c>
      <x:c r="C79" s="4" t="inlineStr">
        <x:is>
          <x:t xml:space="preserve">Relist重新发布—标准处理</x:t>
        </x:is>
      </x:c>
      <x:c r="D79" s="14" t="n">
        <x:v>10</x:v>
      </x:c>
      <x:c r="E79" s="4" t="inlineStr">
        <x:is>
          <x:t xml:space="preserve">同一次安排、可共同处理的一批Relist。</x:t>
        </x:is>
      </x:c>
      <x:c r="F79" s="4" t="inlineStr">
        <x:is>
          <x:t xml:space="preserve">完成一批常规Relist及发布状态核验。</x:t>
        </x:is>
      </x:c>
      <x:c r="G79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79" s="4" t="inlineStr">
        <x:is>
          <x:t xml:space="preserve">标准恢复操作为主。</x:t>
        </x:is>
      </x:c>
      <x:c r="I79" s="9" t="n"/>
      <x:c r="J79" s="4" t="inlineStr">
        <x:is>
          <x:t xml:space="preserve">价格／促销／库存等执行类</x:t>
        </x:is>
      </x:c>
      <x:c r="K79" s="4" t="n">
        <x:f>'主动改善评价'!C13</x:f>
        <x:v>1.5</x:v>
      </x:c>
      <x:c r="L79" s="16" t="n">
        <x:f>D79*K79</x:f>
        <x:v>15</x:v>
      </x:c>
    </x:row>
    <x:row r="80" ht="85" customHeight="1">
      <x:c r="A80" s="8" t="inlineStr">
        <x:is>
          <x:t xml:space="preserve">P035-T3</x:t>
        </x:is>
      </x:c>
      <x:c r="B80" s="8" t="inlineStr">
        <x:is>
          <x:t xml:space="preserve">滞留库存</x:t>
        </x:is>
      </x:c>
      <x:c r="C80" s="8" t="inlineStr">
        <x:is>
          <x:t xml:space="preserve">Relist重新发布—15元档</x:t>
        </x:is>
      </x:c>
      <x:c r="D80" s="14" t="n">
        <x:v>15</x:v>
      </x:c>
      <x:c r="E80" s="8" t="inlineStr">
        <x:is>
          <x:t xml:space="preserve">同一次安排、可共同处理的一批Relist。</x:t>
        </x:is>
      </x:c>
      <x:c r="F80" s="8" t="inlineStr">
        <x:is>
          <x:t xml:space="preserve">在完成该项目基本交付的基础上：需排查基本字段问题后重新发布；转申诉按最终独立问题整体计，不逐项累加。</x:t>
        </x:is>
      </x:c>
      <x:c r="G80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80" s="8" t="inlineStr">
        <x:is>
          <x:t xml:space="preserve">原升降档条件独立列行，沿用原15元标准；不是新增累计任务。</x:t>
        </x:is>
      </x:c>
      <x:c r="I80" s="9" t="n"/>
      <x:c r="J80" s="8" t="inlineStr">
        <x:is>
          <x:t xml:space="preserve">价格／促销／库存等执行类</x:t>
        </x:is>
      </x:c>
      <x:c r="K80" s="8" t="n">
        <x:f>'主动改善评价'!C13</x:f>
        <x:v>1.5</x:v>
      </x:c>
      <x:c r="L80" s="15" t="n">
        <x:f>D80*K80</x:f>
        <x:v>22.5</x:v>
      </x:c>
    </x:row>
    <x:row r="81" ht="85" customHeight="1">
      <x:c r="A81" s="4" t="inlineStr">
        <x:is>
          <x:t xml:space="preserve">P036</x:t>
        </x:is>
      </x:c>
      <x:c r="B81" s="4" t="inlineStr">
        <x:is>
          <x:t xml:space="preserve">滞留库存</x:t>
        </x:is>
      </x:c>
      <x:c r="C81" s="4" t="inlineStr">
        <x:is>
          <x:t xml:space="preserve">库存专属问题申诉或Case—标准处理</x:t>
        </x:is>
      </x:c>
      <x:c r="D81" s="14" t="n">
        <x:v>15</x:v>
      </x:c>
      <x:c r="E81" s="4" t="inlineStr">
        <x:is>
          <x:t xml:space="preserve">一项独立库存问题。</x:t>
        </x:is>
      </x:c>
      <x:c r="F81" s="4" t="inlineStr">
        <x:is>
          <x:t xml:space="preserve">一个库存专属问题，完成资料整理、常规申诉及跟进。</x:t>
        </x:is>
      </x:c>
      <x:c r="G81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81" s="4" t="inlineStr">
        <x:is>
          <x:t xml:space="preserve">比Relist增加核查与材料工作，但不默认复杂调查。</x:t>
        </x:is>
      </x:c>
      <x:c r="I81" s="9" t="n"/>
      <x:c r="J81" s="4" t="inlineStr">
        <x:is>
          <x:t xml:space="preserve">价格／促销／库存等执行类</x:t>
        </x:is>
      </x:c>
      <x:c r="K81" s="4" t="n">
        <x:f>'主动改善评价'!C13</x:f>
        <x:v>1.5</x:v>
      </x:c>
      <x:c r="L81" s="16" t="n">
        <x:f>D81*K81</x:f>
        <x:v>22.5</x:v>
      </x:c>
    </x:row>
    <x:row r="82" ht="85" customHeight="1">
      <x:c r="A82" s="8" t="inlineStr">
        <x:is>
          <x:t xml:space="preserve">P036-T5</x:t>
        </x:is>
      </x:c>
      <x:c r="B82" s="8" t="inlineStr">
        <x:is>
          <x:t xml:space="preserve">滞留库存</x:t>
        </x:is>
      </x:c>
      <x:c r="C82" s="8" t="inlineStr">
        <x:is>
          <x:t xml:space="preserve">库存专属问题申诉或Case—25元档</x:t>
        </x:is>
      </x:c>
      <x:c r="D82" s="14" t="n">
        <x:v>25</x:v>
      </x:c>
      <x:c r="E82" s="8" t="inlineStr">
        <x:is>
          <x:t xml:space="preserve">一项独立库存问题。</x:t>
        </x:is>
      </x:c>
      <x:c r="F82" s="8" t="inlineStr">
        <x:is>
          <x:t xml:space="preserve">在完成该项目基本交付的基础上：需自行排查原因、补齐库存证据或协调多方信息；Case次数不作为条件。</x:t>
        </x:is>
      </x:c>
      <x:c r="G82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82" s="8" t="inlineStr">
        <x:is>
          <x:t xml:space="preserve">原升降档条件独立列行，沿用原25元标准；不是新增累计任务。</x:t>
        </x:is>
      </x:c>
      <x:c r="I82" s="9" t="n"/>
      <x:c r="J82" s="8" t="inlineStr">
        <x:is>
          <x:t xml:space="preserve">价格／促销／库存等执行类</x:t>
        </x:is>
      </x:c>
      <x:c r="K82" s="8" t="n">
        <x:f>'主动改善评价'!C13</x:f>
        <x:v>1.5</x:v>
      </x:c>
      <x:c r="L82" s="15" t="n">
        <x:f>D82*K82</x:f>
        <x:v>37.5</x:v>
      </x:c>
    </x:row>
    <x:row r="83" ht="85" customHeight="1">
      <x:c r="A83" s="4" t="inlineStr">
        <x:is>
          <x:t xml:space="preserve">P037</x:t>
        </x:is>
      </x:c>
      <x:c r="B83" s="4" t="inlineStr">
        <x:is>
          <x:t xml:space="preserve">滞留库存</x:t>
        </x:is>
      </x:c>
      <x:c r="C83" s="4" t="inlineStr">
        <x:is>
          <x:t xml:space="preserve">已有电池或化学品资料提交—标准处理</x:t>
        </x:is>
      </x:c>
      <x:c r="D83" s="14" t="n">
        <x:v>10</x:v>
      </x:c>
      <x:c r="E83" s="4" t="inlineStr">
        <x:is>
          <x:t xml:space="preserve">可共同提交的一批资料。</x:t>
        </x:is>
      </x:c>
      <x:c r="F83" s="4" t="inlineStr">
        <x:is>
          <x:t xml:space="preserve">完整正确资料已提供，核对后完成一批提交并记录结果。</x:t>
        </x:is>
      </x:c>
      <x:c r="G83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83" s="4" t="inlineStr">
        <x:is>
          <x:t xml:space="preserve">标准文件核验及提交，非产品资料研发。</x:t>
        </x:is>
      </x:c>
      <x:c r="I83" s="9" t="n"/>
      <x:c r="J83" s="4" t="inlineStr">
        <x:is>
          <x:t xml:space="preserve">价格／促销／库存等执行类</x:t>
        </x:is>
      </x:c>
      <x:c r="K83" s="4" t="n">
        <x:f>'主动改善评价'!C13</x:f>
        <x:v>1.5</x:v>
      </x:c>
      <x:c r="L83" s="16" t="n">
        <x:f>D83*K83</x:f>
        <x:v>15</x:v>
      </x:c>
    </x:row>
    <x:row r="84" ht="85" customHeight="1">
      <x:c r="A84" s="8" t="inlineStr">
        <x:is>
          <x:t xml:space="preserve">P037-T3</x:t>
        </x:is>
      </x:c>
      <x:c r="B84" s="8" t="inlineStr">
        <x:is>
          <x:t xml:space="preserve">滞留库存</x:t>
        </x:is>
      </x:c>
      <x:c r="C84" s="8" t="inlineStr">
        <x:is>
          <x:t xml:space="preserve">已有电池或化学品资料提交—15元档</x:t>
        </x:is>
      </x:c>
      <x:c r="D84" s="14" t="n">
        <x:v>15</x:v>
      </x:c>
      <x:c r="E84" s="8" t="inlineStr">
        <x:is>
          <x:t xml:space="preserve">可共同提交的一批资料。</x:t>
        </x:is>
      </x:c>
      <x:c r="F84" s="8" t="inlineStr">
        <x:is>
          <x:t xml:space="preserve">在完成该项目基本交付的基础上：需核对多个冲突版本或商品对应；需索取资料转P038。</x:t>
        </x:is>
      </x:c>
      <x:c r="G84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84" s="8" t="inlineStr">
        <x:is>
          <x:t xml:space="preserve">原升降档条件独立列行，沿用原15元标准；不是新增累计任务。</x:t>
        </x:is>
      </x:c>
      <x:c r="I84" s="9" t="n"/>
      <x:c r="J84" s="8" t="inlineStr">
        <x:is>
          <x:t xml:space="preserve">价格／促销／库存等执行类</x:t>
        </x:is>
      </x:c>
      <x:c r="K84" s="8" t="n">
        <x:f>'主动改善评价'!C13</x:f>
        <x:v>1.5</x:v>
      </x:c>
      <x:c r="L84" s="15" t="n">
        <x:f>D84*K84</x:f>
        <x:v>22.5</x:v>
      </x:c>
    </x:row>
    <x:row r="85" ht="85" customHeight="1">
      <x:c r="A85" s="4" t="inlineStr">
        <x:is>
          <x:t xml:space="preserve">P038</x:t>
        </x:is>
      </x:c>
      <x:c r="B85" s="4" t="inlineStr">
        <x:is>
          <x:t xml:space="preserve">滞留库存</x:t>
        </x:is>
      </x:c>
      <x:c r="C85" s="4" t="inlineStr">
        <x:is>
          <x:t xml:space="preserve">电池或化学品资料协调与提交</x:t>
        </x:is>
      </x:c>
      <x:c r="D85" s="14" t="n">
        <x:v>15</x:v>
      </x:c>
      <x:c r="E85" s="4" t="inlineStr">
        <x:is>
          <x:t xml:space="preserve">一次独立资料协调及提交任务。</x:t>
        </x:is>
      </x:c>
      <x:c r="F85" s="4" t="inlineStr">
        <x:is>
          <x:t xml:space="preserve">从负责人或厂家取得缺失资料，核对并完成一批提交。</x:t>
        </x:is>
      </x:c>
      <x:c r="G85" s="4" t="inlineStr">
        <x:is>
          <x:t xml:space="preserve">固定15元/独立资料协调及提交任务；包含获取、核对、提交及跟进，不再叠加P037的10元。同批共用协调不按SKU重复计。</x:t>
        </x:is>
      </x:c>
      <x:c r="H85" s="4" t="inlineStr">
        <x:is>
          <x:t xml:space="preserve">较已有资料直接提交增加获取与沟通，固定多5元；等待不加价。</x:t>
        </x:is>
      </x:c>
      <x:c r="I85" s="9" t="n"/>
      <x:c r="J85" s="4" t="inlineStr">
        <x:is>
          <x:t xml:space="preserve">价格／促销／库存等执行类</x:t>
        </x:is>
      </x:c>
      <x:c r="K85" s="4" t="n">
        <x:f>'主动改善评价'!C13</x:f>
        <x:v>1.5</x:v>
      </x:c>
      <x:c r="L85" s="16" t="n">
        <x:f>D85*K85</x:f>
        <x:v>22.5</x:v>
      </x:c>
    </x:row>
    <x:row r="86" ht="85" customHeight="1">
      <x:c r="A86" s="8" t="inlineStr">
        <x:is>
          <x:t xml:space="preserve">P039</x:t>
        </x:is>
      </x:c>
      <x:c r="B86" s="8" t="inlineStr">
        <x:is>
          <x:t xml:space="preserve">数据报表</x:t>
        </x:is>
      </x:c>
      <x:c r="C86" s="8" t="inlineStr">
        <x:is>
          <x:t xml:space="preserve">Category Report下载</x:t>
        </x:is>
      </x:c>
      <x:c r="D86" s="14" t="n">
        <x:v>5</x:v>
      </x:c>
      <x:c r="E86" s="8" t="inlineStr">
        <x:is>
          <x:t xml:space="preserve">每周；按要求每日完成，周末合并验收。部分完成按合格天数/应完成天数折算；无任务不计。</x:t>
        </x:is>
      </x:c>
      <x:c r="F86" s="8" t="inlineStr">
        <x:is>
          <x:t xml:space="preserve">按约定频次完成一周Category Report下载、归档及核验。</x:t>
        </x:is>
      </x:c>
      <x:c r="G86" s="8" t="inlineStr">
        <x:is>
          <x:t xml:space="preserve">不按每天或重复下载升档；无应完成任务的周为0，部分完成按有效完成比例记录。</x:t>
        </x:is>
      </x:c>
      <x:c r="H86" s="8" t="inlineStr">
        <x:is>
          <x:t xml:space="preserve">简单重复下载以周计5元；不按每天或重复操作累计。</x:t>
        </x:is>
      </x:c>
      <x:c r="I86" s="9" t="n"/>
      <x:c r="J86" s="8" t="inlineStr">
        <x:is>
          <x:t xml:space="preserve">固定例行工作</x:t>
        </x:is>
      </x:c>
      <x:c r="K86" s="8" t="n">
        <x:f>'主动改善评价'!C15</x:f>
        <x:v>1</x:v>
      </x:c>
      <x:c r="L86" s="15" t="n">
        <x:f>D86*K86</x:f>
        <x:v>5</x:v>
      </x:c>
    </x:row>
    <x:row r="87" ht="85" customHeight="1">
      <x:c r="A87" s="4" t="inlineStr">
        <x:is>
          <x:t xml:space="preserve">P040</x:t>
        </x:is>
      </x:c>
      <x:c r="B87" s="4" t="inlineStr">
        <x:is>
          <x:t xml:space="preserve">数据报表</x:t>
        </x:is>
      </x:c>
      <x:c r="C87" s="4" t="inlineStr">
        <x:is>
          <x:t xml:space="preserve">关键词市场占有率统计及竞品检查—标准处理</x:t>
        </x:is>
      </x:c>
      <x:c r="D87" s="14" t="n">
        <x:v>20</x:v>
      </x:c>
      <x:c r="E87" s="4" t="inlineStr">
        <x:is>
          <x:t xml:space="preserve">一个关键词的一次月度统计。</x:t>
        </x:is>
      </x:c>
      <x:c r="F87" s="4" t="inlineStr">
        <x:is>
          <x:t xml:space="preserve">一个关键词完成月度H10数据整理、占有率计算及新增竞品检查。</x:t>
        </x:is>
      </x:c>
      <x:c r="G87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87" s="4" t="inlineStr">
        <x:is>
          <x:t xml:space="preserve">包含计算口径和竞品判断，明显高于单纯下载报表。</x:t>
        </x:is>
      </x:c>
      <x:c r="I87" s="9" t="n"/>
      <x:c r="J87" s="4" t="inlineStr">
        <x:is>
          <x:t xml:space="preserve">固定例行工作</x:t>
        </x:is>
      </x:c>
      <x:c r="K87" s="4" t="n">
        <x:f>'主动改善评价'!C15</x:f>
        <x:v>1</x:v>
      </x:c>
      <x:c r="L87" s="16" t="n">
        <x:f>D87*K87</x:f>
        <x:v>20</x:v>
      </x:c>
    </x:row>
    <x:row r="88" ht="85" customHeight="1">
      <x:c r="A88" s="8" t="inlineStr">
        <x:is>
          <x:t xml:space="preserve">P040-T5</x:t>
        </x:is>
      </x:c>
      <x:c r="B88" s="8" t="inlineStr">
        <x:is>
          <x:t xml:space="preserve">数据报表</x:t>
        </x:is>
      </x:c>
      <x:c r="C88" s="8" t="inlineStr">
        <x:is>
          <x:t xml:space="preserve">关键词市场占有率统计及竞品检查—25元档</x:t>
        </x:is>
      </x:c>
      <x:c r="D88" s="14" t="n">
        <x:v>25</x:v>
      </x:c>
      <x:c r="E88" s="8" t="inlineStr">
        <x:is>
          <x:t xml:space="preserve">一个关键词的一次月度统计。</x:t>
        </x:is>
      </x:c>
      <x:c r="F88" s="8" t="inlineStr">
        <x:is>
          <x:t xml:space="preserve">在完成该项目基本交付的基础上：需人工确认新竞争对手、产品差异并给出有依据的变化解释；完整市场调研另定范围。</x:t>
        </x:is>
      </x:c>
      <x:c r="G88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88" s="8" t="inlineStr">
        <x:is>
          <x:t xml:space="preserve">原升降档条件独立列行，沿用原25元标准；不是新增累计任务。</x:t>
        </x:is>
      </x:c>
      <x:c r="I88" s="9" t="n"/>
      <x:c r="J88" s="8" t="inlineStr">
        <x:is>
          <x:t xml:space="preserve">固定例行工作</x:t>
        </x:is>
      </x:c>
      <x:c r="K88" s="8" t="n">
        <x:f>'主动改善评价'!C15</x:f>
        <x:v>1</x:v>
      </x:c>
      <x:c r="L88" s="15" t="n">
        <x:f>D88*K88</x:f>
        <x:v>25</x:v>
      </x:c>
    </x:row>
    <x:row r="89" ht="85" customHeight="1">
      <x:c r="A89" s="4" t="inlineStr">
        <x:is>
          <x:t xml:space="preserve">P041</x:t>
        </x:is>
      </x:c>
      <x:c r="B89" s="4" t="inlineStr">
        <x:is>
          <x:t xml:space="preserve">跨站点</x:t>
        </x:is>
      </x:c>
      <x:c r="C89" s="4" t="inlineStr">
        <x:is>
          <x:t xml:space="preserve">CA/MX/BR等站点Listing上架</x:t>
        </x:is>
      </x:c>
      <x:c r="D89" s="14" t="n">
        <x:v>25</x:v>
      </x:c>
      <x:c r="E89" s="4" t="inlineStr">
        <x:is>
          <x:t xml:space="preserve">同一业务需求、同一目标站点、可共用模板的SKU组。</x:t>
        </x:is>
      </x:c>
      <x:c r="F89" s="4" t="inlineStr">
        <x:is>
          <x:t xml:space="preserve">目标站点已有资料可用，完成一个上架执行组及本次必要的父子关系组合。</x:t>
        </x:is>
      </x:c>
      <x:c r="G89" s="4" t="inlineStr">
        <x:is>
          <x:t xml:space="preserve">25元/上架执行组，包含本次必要的父子关系组合及上传核验；不另叠加变体维护报酬。按同一需求、同站点、可共用上架表分组，不按OA条数拆分。</x:t>
        </x:is>
      </x:c>
      <x:c r="H89" s="4" t="inlineStr">
        <x:is>
          <x:t xml:space="preserve">与美国站同类上架采用同等标准，额外复杂性须有实际工作依据。</x:t>
        </x:is>
      </x:c>
      <x:c r="I89" s="9" t="n"/>
      <x:c r="J89" s="4" t="inlineStr">
        <x:is>
          <x:t xml:space="preserve">未明确列入的项目</x:t>
        </x:is>
      </x:c>
      <x:c r="K89" s="4" t="n">
        <x:f>'主动改善评价'!C16</x:f>
        <x:v>1</x:v>
      </x:c>
      <x:c r="L89" s="16" t="n">
        <x:f>D89*K89</x:f>
        <x:v>25</x:v>
      </x:c>
    </x:row>
    <x:row r="90" ht="85" customHeight="1">
      <x:c r="A90" s="8" t="inlineStr">
        <x:is>
          <x:t xml:space="preserve">P042</x:t>
        </x:is>
      </x:c>
      <x:c r="B90" s="8" t="inlineStr">
        <x:is>
          <x:t xml:space="preserve">跨站点</x:t>
        </x:is>
      </x:c>
      <x:c r="C90" s="8" t="inlineStr">
        <x:is>
          <x:t xml:space="preserve">已有A+翻译并发布—标准处理</x:t>
        </x:is>
      </x:c>
      <x:c r="D90" s="14" t="n">
        <x:v>15</x:v>
      </x:c>
      <x:c r="E90" s="8" t="inlineStr">
        <x:is>
          <x:t xml:space="preserve">同一需求内的一份原A+内容批次，列出目标站点。</x:t>
        </x:is>
      </x:c>
      <x:c r="F90" s="8" t="inlineStr">
        <x:is>
          <x:t xml:space="preserve">一份原A+完成既定目标站点的翻译、发布、首次绑定及核验。</x:t>
        </x:is>
      </x:c>
      <x:c r="G90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90" s="8" t="inlineStr">
        <x:is>
          <x:t xml:space="preserve">不仅是点击发布，还需核对翻译与应用；不按绑定SKU数重复算。</x:t>
        </x:is>
      </x:c>
      <x:c r="I90" s="9" t="n"/>
      <x:c r="J90" s="8" t="inlineStr">
        <x:is>
          <x:t xml:space="preserve">固定例行工作</x:t>
        </x:is>
      </x:c>
      <x:c r="K90" s="8" t="n">
        <x:f>'主动改善评价'!C15</x:f>
        <x:v>1</x:v>
      </x:c>
      <x:c r="L90" s="15" t="n">
        <x:f>D90*K90</x:f>
        <x:v>15</x:v>
      </x:c>
    </x:row>
    <x:row r="91" ht="85" customHeight="1">
      <x:c r="A91" s="4" t="inlineStr">
        <x:is>
          <x:t xml:space="preserve">P042-T5</x:t>
        </x:is>
      </x:c>
      <x:c r="B91" s="4" t="inlineStr">
        <x:is>
          <x:t xml:space="preserve">跨站点</x:t>
        </x:is>
      </x:c>
      <x:c r="C91" s="4" t="inlineStr">
        <x:is>
          <x:t xml:space="preserve">已有A+翻译并发布—25元档</x:t>
        </x:is>
      </x:c>
      <x:c r="D91" s="14" t="n">
        <x:v>25</x:v>
      </x:c>
      <x:c r="E91" s="4" t="inlineStr">
        <x:is>
          <x:t xml:space="preserve">同一需求内的一份原A+内容批次，列出目标站点。</x:t>
        </x:is>
      </x:c>
      <x:c r="F91" s="4" t="inlineStr">
        <x:is>
          <x:t xml:space="preserve">在完成该项目基本交付的基础上：需要明显的语言和版式适配、素材文字协调，仍沿用原方案；独立新策划转对应项目。</x:t>
        </x:is>
      </x:c>
      <x:c r="G91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91" s="4" t="inlineStr">
        <x:is>
          <x:t xml:space="preserve">原升降档条件独立列行，沿用原25元标准；不是新增累计任务。</x:t>
        </x:is>
      </x:c>
      <x:c r="I91" s="9" t="n"/>
      <x:c r="J91" s="4" t="inlineStr">
        <x:is>
          <x:t xml:space="preserve">固定例行工作</x:t>
        </x:is>
      </x:c>
      <x:c r="K91" s="4" t="n">
        <x:f>'主动改善评价'!C15</x:f>
        <x:v>1</x:v>
      </x:c>
      <x:c r="L91" s="16" t="n">
        <x:f>D91*K91</x:f>
        <x:v>25</x:v>
      </x:c>
    </x:row>
    <x:row r="92" ht="85" customHeight="1">
      <x:c r="A92" s="8" t="inlineStr">
        <x:is>
          <x:t xml:space="preserve">P043</x:t>
        </x:is>
      </x:c>
      <x:c r="B92" s="8" t="inlineStr">
        <x:is>
          <x:t xml:space="preserve">跨站点</x:t>
        </x:is>
      </x:c>
      <x:c r="C92" s="8" t="inlineStr">
        <x:is>
          <x:t xml:space="preserve">已有文案翻译后批量更新—标准处理</x:t>
        </x:is>
      </x:c>
      <x:c r="D92" s="14" t="n">
        <x:v>10</x:v>
      </x:c>
      <x:c r="E92" s="8" t="inlineStr">
        <x:is>
          <x:t xml:space="preserve">同一次需求的一批文案更新。</x:t>
        </x:is>
      </x:c>
      <x:c r="F92" s="8" t="inlineStr">
        <x:is>
          <x:t xml:space="preserve">已有文案，经AI翻译核对后完成一批更新。</x:t>
        </x:is>
      </x:c>
      <x:c r="G92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92" s="8" t="inlineStr">
        <x:is>
          <x:t xml:space="preserve">已有内容的执行和核验，区别于独立构思文案。</x:t>
        </x:is>
      </x:c>
      <x:c r="I92" s="9" t="n"/>
      <x:c r="J92" s="8" t="inlineStr">
        <x:is>
          <x:t xml:space="preserve">固定例行工作</x:t>
        </x:is>
      </x:c>
      <x:c r="K92" s="8" t="n">
        <x:f>'主动改善评价'!C15</x:f>
        <x:v>1</x:v>
      </x:c>
      <x:c r="L92" s="15" t="n">
        <x:f>D92*K92</x:f>
        <x:v>10</x:v>
      </x:c>
    </x:row>
    <x:row r="93" ht="85" customHeight="1">
      <x:c r="A93" s="4" t="inlineStr">
        <x:is>
          <x:t xml:space="preserve">P043-T3</x:t>
        </x:is>
      </x:c>
      <x:c r="B93" s="4" t="inlineStr">
        <x:is>
          <x:t xml:space="preserve">跨站点</x:t>
        </x:is>
      </x:c>
      <x:c r="C93" s="4" t="inlineStr">
        <x:is>
          <x:t xml:space="preserve">已有文案翻译后批量更新—15元档</x:t>
        </x:is>
      </x:c>
      <x:c r="D93" s="14" t="n">
        <x:v>15</x:v>
      </x:c>
      <x:c r="E93" s="4" t="inlineStr">
        <x:is>
          <x:t xml:space="preserve">同一次需求的一批文案更新。</x:t>
        </x:is>
      </x:c>
      <x:c r="F93" s="4" t="inlineStr">
        <x:is>
          <x:t xml:space="preserve">在完成该项目基本交付的基础上：程序不支持，需要逐条后台更新</x:t>
        </x:is>
      </x:c>
      <x:c r="G93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93" s="4" t="inlineStr">
        <x:is>
          <x:t xml:space="preserve">原升降档条件独立列行，沿用原15元标准；不是新增累计任务。</x:t>
        </x:is>
      </x:c>
      <x:c r="I93" s="9" t="n"/>
      <x:c r="J93" s="4" t="inlineStr">
        <x:is>
          <x:t xml:space="preserve">固定例行工作</x:t>
        </x:is>
      </x:c>
      <x:c r="K93" s="4" t="n">
        <x:f>'主动改善评价'!C15</x:f>
        <x:v>1</x:v>
      </x:c>
      <x:c r="L93" s="16" t="n">
        <x:f>D93*K93</x:f>
        <x:v>15</x:v>
      </x:c>
    </x:row>
    <x:row r="94" ht="85" customHeight="1">
      <x:c r="A94" s="8" t="inlineStr">
        <x:is>
          <x:t xml:space="preserve">P043-T5</x:t>
        </x:is>
      </x:c>
      <x:c r="B94" s="8" t="inlineStr">
        <x:is>
          <x:t xml:space="preserve">跨站点</x:t>
        </x:is>
      </x:c>
      <x:c r="C94" s="8" t="inlineStr">
        <x:is>
          <x:t xml:space="preserve">已有文案翻译后批量更新—25元档</x:t>
        </x:is>
      </x:c>
      <x:c r="D94" s="14" t="n">
        <x:v>25</x:v>
      </x:c>
      <x:c r="E94" s="8" t="inlineStr">
        <x:is>
          <x:t xml:space="preserve">同一次需求的一批文案更新。</x:t>
        </x:is>
      </x:c>
      <x:c r="F94" s="8" t="inlineStr">
        <x:is>
          <x:t xml:space="preserve">在完成该项目基本交付的基础上：需解决语言或产品对应冲突并完成实质核对，非重新原创。</x:t>
        </x:is>
      </x:c>
      <x:c r="G94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94" s="8" t="inlineStr">
        <x:is>
          <x:t xml:space="preserve">原升降档条件独立列行，沿用原25元标准；不是新增累计任务。</x:t>
        </x:is>
      </x:c>
      <x:c r="I94" s="9" t="n"/>
      <x:c r="J94" s="8" t="inlineStr">
        <x:is>
          <x:t xml:space="preserve">固定例行工作</x:t>
        </x:is>
      </x:c>
      <x:c r="K94" s="8" t="n">
        <x:f>'主动改善评价'!C15</x:f>
        <x:v>1</x:v>
      </x:c>
      <x:c r="L94" s="15" t="n">
        <x:f>D94*K94</x:f>
        <x:v>25</x:v>
      </x:c>
    </x:row>
    <x:row r="95" ht="85" customHeight="1">
      <x:c r="A95" s="4" t="inlineStr">
        <x:is>
          <x:t xml:space="preserve">P044</x:t>
        </x:is>
      </x:c>
      <x:c r="B95" s="4" t="inlineStr">
        <x:is>
          <x:t xml:space="preserve">新品开发</x:t>
        </x:is>
      </x:c>
      <x:c r="C95" s="4" t="inlineStr">
        <x:is>
          <x:t xml:space="preserve">市场调研与产品建议</x:t>
        </x:is>
      </x:c>
      <x:c r="D95" s="14" t="n">
        <x:v>50</x:v>
      </x:c>
      <x:c r="E95" s="4" t="inlineStr">
        <x:is>
          <x:t xml:space="preserve">一个独立产品方向或共用调研的系列阶段。</x:t>
        </x:is>
      </x:c>
      <x:c r="F95" s="4" t="inlineStr">
        <x:is>
          <x:t xml:space="preserve">完成一个独立产品方向或系列的完整市场调研、证据及建议。</x:t>
        </x:is>
      </x:c>
      <x:c r="G95" s="4" t="inlineStr">
        <x:is>
          <x:t xml:space="preserve">固定50元，按本行计量单位及完整交付验收，不另设难度金额档。系列或多商品共用成果只计一次；尚未完成不自动按完整阶段结算，补做返工不新增报酬。</x:t>
        </x:is>
      </x:c>
      <x:c r="H95" s="4" t="inlineStr">
        <x:is>
          <x:t xml:space="preserve">按用户确认，新品开发与经营分析P044—P051每项统一50元；各项须有独立实际交付，不能重复包装同一成果。技术研发另见'研发考核规则'页。</x:t>
        </x:is>
      </x:c>
      <x:c r="I95" s="9" t="n"/>
      <x:c r="J95" s="4" t="inlineStr">
        <x:is>
          <x:t xml:space="preserve">未明确列入的项目</x:t>
        </x:is>
      </x:c>
      <x:c r="K95" s="4" t="n">
        <x:f>'主动改善评价'!C16</x:f>
        <x:v>1</x:v>
      </x:c>
      <x:c r="L95" s="16" t="n">
        <x:f>D95*K95</x:f>
        <x:v>50</x:v>
      </x:c>
    </x:row>
    <x:row r="96" ht="85" customHeight="1">
      <x:c r="A96" s="8" t="inlineStr">
        <x:is>
          <x:t xml:space="preserve">P045</x:t>
        </x:is>
      </x:c>
      <x:c r="B96" s="8" t="inlineStr">
        <x:is>
          <x:t xml:space="preserve">新品开发</x:t>
        </x:is>
      </x:c>
      <x:c r="C96" s="8" t="inlineStr">
        <x:is>
          <x:t xml:space="preserve">厂家筛选、报价及合作条件确认</x:t>
        </x:is>
      </x:c>
      <x:c r="D96" s="14" t="n">
        <x:v>50</x:v>
      </x:c>
      <x:c r="E96" s="8" t="inlineStr">
        <x:is>
          <x:t xml:space="preserve">一个开发项目或共用厂家方案的系列阶段。</x:t>
        </x:is>
      </x:c>
      <x:c r="F96" s="8" t="inlineStr">
        <x:is>
          <x:t xml:space="preserve">从零筛选厂家，完成有效比较、关键合作条件确认和建议。</x:t>
        </x:is>
      </x:c>
      <x:c r="G96" s="8" t="inlineStr">
        <x:is>
          <x:t xml:space="preserve">固定50元，按本行计量单位及完整交付验收，不另设难度金额档。系列或多商品共用成果只计一次；尚未完成不自动按完整阶段结算，补做返工不新增报酬。</x:t>
        </x:is>
      </x:c>
      <x:c r="H96" s="8" t="inlineStr">
        <x:is>
          <x:t xml:space="preserve">按用户确认，新品开发与经营分析P044—P051每项统一50元；各项须有独立实际交付，不能重复包装同一成果。技术研发另见'研发考核规则'页。</x:t>
        </x:is>
      </x:c>
      <x:c r="I96" s="9" t="n"/>
      <x:c r="J96" s="8" t="inlineStr">
        <x:is>
          <x:t xml:space="preserve">未明确列入的项目</x:t>
        </x:is>
      </x:c>
      <x:c r="K96" s="8" t="n">
        <x:f>'主动改善评价'!C16</x:f>
        <x:v>1</x:v>
      </x:c>
      <x:c r="L96" s="15" t="n">
        <x:f>D96*K96</x:f>
        <x:v>50</x:v>
      </x:c>
    </x:row>
    <x:row r="97" ht="85" customHeight="1">
      <x:c r="A97" s="4" t="inlineStr">
        <x:is>
          <x:t xml:space="preserve">P046</x:t>
        </x:is>
      </x:c>
      <x:c r="B97" s="4" t="inlineStr">
        <x:is>
          <x:t xml:space="preserve">新品开发</x:t>
        </x:is>
      </x:c>
      <x:c r="C97" s="4" t="inlineStr">
        <x:is>
          <x:t xml:space="preserve">样品评估及问题跟进</x:t>
        </x:is>
      </x:c>
      <x:c r="D97" s="14" t="n">
        <x:v>50</x:v>
      </x:c>
      <x:c r="E97" s="4" t="inlineStr">
        <x:is>
          <x:t xml:space="preserve">一项独立样品验证方案及本轮问题处理。</x:t>
        </x:is>
      </x:c>
      <x:c r="F97" s="4" t="inlineStr">
        <x:is>
          <x:t xml:space="preserve">按约定方案完成独立样品验证、问题跟进及可供决策的结论。</x:t>
        </x:is>
      </x:c>
      <x:c r="G97" s="4" t="inlineStr">
        <x:is>
          <x:t xml:space="preserve">固定50元，按本行计量单位及完整交付验收，不另设难度金额档。系列或多商品共用成果只计一次；尚未完成不自动按完整阶段结算，补做返工不新增报酬。</x:t>
        </x:is>
      </x:c>
      <x:c r="H97" s="4" t="inlineStr">
        <x:is>
          <x:t xml:space="preserve">按用户确认，新品开发与经营分析P044—P051每项统一50元；各项须有独立实际交付，不能重复包装同一成果。技术研发另见'研发考核规则'页。</x:t>
        </x:is>
      </x:c>
      <x:c r="I97" s="9" t="n"/>
      <x:c r="J97" s="4" t="inlineStr">
        <x:is>
          <x:t xml:space="preserve">未明确列入的项目</x:t>
        </x:is>
      </x:c>
      <x:c r="K97" s="4" t="n">
        <x:f>'主动改善评价'!C16</x:f>
        <x:v>1</x:v>
      </x:c>
      <x:c r="L97" s="16" t="n">
        <x:f>D97*K97</x:f>
        <x:v>50</x:v>
      </x:c>
    </x:row>
    <x:row r="98" ht="85" customHeight="1">
      <x:c r="A98" s="8" t="inlineStr">
        <x:is>
          <x:t xml:space="preserve">P047</x:t>
        </x:is>
      </x:c>
      <x:c r="B98" s="8" t="inlineStr">
        <x:is>
          <x:t xml:space="preserve">新品开发</x:t>
        </x:is>
      </x:c>
      <x:c r="C98" s="8" t="inlineStr">
        <x:is>
          <x:t xml:space="preserve">额外产品资料核实与整理</x:t>
        </x:is>
      </x:c>
      <x:c r="D98" s="14" t="n">
        <x:v>50</x:v>
      </x:c>
      <x:c r="E98" s="8" t="inlineStr">
        <x:is>
          <x:t xml:space="preserve">一套额外独立核实的产品资料。</x:t>
        </x:is>
      </x:c>
      <x:c r="F98" s="8" t="inlineStr">
        <x:is>
          <x:t xml:space="preserve">额外核实一套缺失或矛盾的产品事实资料，并形成确认版本。</x:t>
        </x:is>
      </x:c>
      <x:c r="G98" s="8" t="inlineStr">
        <x:is>
          <x:t xml:space="preserve">固定50元，按本行计量单位及完整交付验收，不另设难度金额档。系列或多商品共用成果只计一次；尚未完成不自动按完整阶段结算，补做返工不新增报酬。</x:t>
        </x:is>
      </x:c>
      <x:c r="H98" s="8" t="inlineStr">
        <x:is>
          <x:t xml:space="preserve">按用户确认，新品开发与经营分析P044—P051每项统一50元；各项须有独立实际交付，不能重复包装同一成果。技术研发另见'研发考核规则'页。</x:t>
        </x:is>
      </x:c>
      <x:c r="I98" s="9" t="n"/>
      <x:c r="J98" s="8" t="inlineStr">
        <x:is>
          <x:t xml:space="preserve">未明确列入的项目</x:t>
        </x:is>
      </x:c>
      <x:c r="K98" s="8" t="n">
        <x:f>'主动改善评价'!C16</x:f>
        <x:v>1</x:v>
      </x:c>
      <x:c r="L98" s="15" t="n">
        <x:f>D98*K98</x:f>
        <x:v>50</x:v>
      </x:c>
    </x:row>
    <x:row r="99" ht="85" customHeight="1">
      <x:c r="A99" s="4" t="inlineStr">
        <x:is>
          <x:t xml:space="preserve">P048</x:t>
        </x:is>
      </x:c>
      <x:c r="B99" s="4" t="inlineStr">
        <x:is>
          <x:t xml:space="preserve">新品开发</x:t>
        </x:is>
      </x:c>
      <x:c r="C99" s="4" t="inlineStr">
        <x:is>
          <x:t xml:space="preserve">产品主辅图策划</x:t>
        </x:is>
      </x:c>
      <x:c r="D99" s="14" t="n">
        <x:v>50</x:v>
      </x:c>
      <x:c r="E99" s="4" t="inlineStr">
        <x:is>
          <x:t xml:space="preserve">一套独立主辅图方案，系列共用方案只列一次。</x:t>
        </x:is>
      </x:c>
      <x:c r="F99" s="4" t="inlineStr">
        <x:is>
          <x:t xml:space="preserve">独立完成一套主辅图构思、文案、美工要求和成图核验。</x:t>
        </x:is>
      </x:c>
      <x:c r="G99" s="4" t="inlineStr">
        <x:is>
          <x:t xml:space="preserve">固定50元，按本行计量单位及完整交付验收，不另设难度金额档。系列或多商品共用成果只计一次；尚未完成不自动按完整阶段结算，补做返工不新增报酬。</x:t>
        </x:is>
      </x:c>
      <x:c r="H99" s="4" t="inlineStr">
        <x:is>
          <x:t xml:space="preserve">按用户确认，新品开发与经营分析P044—P051每项统一50元；各项须有独立实际交付，不能重复包装同一成果。技术研发另见'研发考核规则'页。</x:t>
        </x:is>
      </x:c>
      <x:c r="I99" s="9" t="n"/>
      <x:c r="J99" s="4" t="inlineStr">
        <x:is>
          <x:t xml:space="preserve">未明确列入的项目</x:t>
        </x:is>
      </x:c>
      <x:c r="K99" s="4" t="n">
        <x:f>'主动改善评价'!C16</x:f>
        <x:v>1</x:v>
      </x:c>
      <x:c r="L99" s="16" t="n">
        <x:f>D99*K99</x:f>
        <x:v>50</x:v>
      </x:c>
    </x:row>
    <x:row r="100" ht="85" customHeight="1">
      <x:c r="A100" s="8" t="inlineStr">
        <x:is>
          <x:t xml:space="preserve">P049</x:t>
        </x:is>
      </x:c>
      <x:c r="B100" s="8" t="inlineStr">
        <x:is>
          <x:t xml:space="preserve">新品开发</x:t>
        </x:is>
      </x:c>
      <x:c r="C100" s="8" t="inlineStr">
        <x:is>
          <x:t xml:space="preserve">视频字幕文案编写</x:t>
        </x:is>
      </x:c>
      <x:c r="D100" s="14" t="n">
        <x:v>50</x:v>
      </x:c>
      <x:c r="E100" s="8" t="inlineStr">
        <x:is>
          <x:t xml:space="preserve">一份独立视频字幕稿。</x:t>
        </x:is>
      </x:c>
      <x:c r="F100" s="8" t="inlineStr">
        <x:is>
          <x:t xml:space="preserve">理解已有画面与产品，原创一份准确对应的视频字幕稿。</x:t>
        </x:is>
      </x:c>
      <x:c r="G100" s="8" t="inlineStr">
        <x:is>
          <x:t xml:space="preserve">固定50元，按本行计量单位及完整交付验收，不另设难度金额档。系列或多商品共用成果只计一次；尚未完成不自动按完整阶段结算，补做返工不新增报酬。</x:t>
        </x:is>
      </x:c>
      <x:c r="H100" s="8" t="inlineStr">
        <x:is>
          <x:t xml:space="preserve">按用户确认，新品开发与经营分析P044—P051每项统一50元；各项须有独立实际交付，不能重复包装同一成果。技术研发另见'研发考核规则'页。</x:t>
        </x:is>
      </x:c>
      <x:c r="I100" s="9" t="n"/>
      <x:c r="J100" s="8" t="inlineStr">
        <x:is>
          <x:t xml:space="preserve">未明确列入的项目</x:t>
        </x:is>
      </x:c>
      <x:c r="K100" s="8" t="n">
        <x:f>'主动改善评价'!C16</x:f>
        <x:v>1</x:v>
      </x:c>
      <x:c r="L100" s="15" t="n">
        <x:f>D100*K100</x:f>
        <x:v>50</x:v>
      </x:c>
    </x:row>
    <x:row r="101" ht="85" customHeight="1">
      <x:c r="A101" s="4" t="inlineStr">
        <x:is>
          <x:t xml:space="preserve">P050</x:t>
        </x:is>
      </x:c>
      <x:c r="B101" s="4" t="inlineStr">
        <x:is>
          <x:t xml:space="preserve">经营分析</x:t>
        </x:is>
      </x:c>
      <x:c r="C101" s="4" t="inlineStr">
        <x:is>
          <x:t xml:space="preserve">利润或亏损原因分析与建议</x:t>
        </x:is>
      </x:c>
      <x:c r="D101" s="14" t="n">
        <x:v>50</x:v>
      </x:c>
      <x:c r="E101" s="4" t="inlineStr">
        <x:is>
          <x:t xml:space="preserve">一个独立利润问题的分析交付；共用报告的商品合并。</x:t>
        </x:is>
      </x:c>
      <x:c r="F101" s="4" t="inlineStr">
        <x:is>
          <x:t xml:space="preserve">完成一个独立利润问题的主要原因分析、证据及具体建议。</x:t>
        </x:is>
      </x:c>
      <x:c r="G101" s="4" t="inlineStr">
        <x:is>
          <x:t xml:space="preserve">固定50元，按本行计量单位及完整交付验收，不另设难度金额档。系列或多商品共用成果只计一次；尚未完成不自动按完整阶段结算，补做返工不新增报酬。</x:t>
        </x:is>
      </x:c>
      <x:c r="H101" s="4" t="inlineStr">
        <x:is>
          <x:t xml:space="preserve">按用户确认，新品开发与经营分析P044—P051每项统一50元；各项须有独立实际交付，不能重复包装同一成果。技术研发另见'研发考核规则'页。</x:t>
        </x:is>
      </x:c>
      <x:c r="I101" s="9" t="n"/>
      <x:c r="J101" s="4" t="inlineStr">
        <x:is>
          <x:t xml:space="preserve">未明确列入的项目</x:t>
        </x:is>
      </x:c>
      <x:c r="K101" s="4" t="n">
        <x:f>'主动改善评价'!C16</x:f>
        <x:v>1</x:v>
      </x:c>
      <x:c r="L101" s="16" t="n">
        <x:f>D101*K101</x:f>
        <x:v>50</x:v>
      </x:c>
    </x:row>
    <x:row r="102" ht="85" customHeight="1">
      <x:c r="A102" s="8" t="inlineStr">
        <x:is>
          <x:t xml:space="preserve">P051</x:t>
        </x:is>
      </x:c>
      <x:c r="B102" s="8" t="inlineStr">
        <x:is>
          <x:t xml:space="preserve">经营分析</x:t>
        </x:is>
      </x:c>
      <x:c r="C102" s="8" t="inlineStr">
        <x:is>
          <x:t xml:space="preserve">活动效果复盘</x:t>
        </x:is>
      </x:c>
      <x:c r="D102" s="14" t="n">
        <x:v>50</x:v>
      </x:c>
      <x:c r="E102" s="8" t="inlineStr">
        <x:is>
          <x:t xml:space="preserve">一个独立活动方案的一次复盘，共用报告不重复。</x:t>
        </x:is>
      </x:c>
      <x:c r="F102" s="8" t="inlineStr">
        <x:is>
          <x:t xml:space="preserve">完成一次活动的数据对比、成本及同期因素分析，给出建议。</x:t>
        </x:is>
      </x:c>
      <x:c r="G102" s="8" t="inlineStr">
        <x:is>
          <x:t xml:space="preserve">固定50元，按本行计量单位及完整交付验收，不另设难度金额档。系列或多商品共用成果只计一次；尚未完成不自动按完整阶段结算，补做返工不新增报酬。</x:t>
        </x:is>
      </x:c>
      <x:c r="H102" s="8" t="inlineStr">
        <x:is>
          <x:t xml:space="preserve">按用户确认，新品开发与经营分析P044—P051每项统一50元；各项须有独立实际交付，不能重复包装同一成果。技术研发另见'研发考核规则'页。</x:t>
        </x:is>
      </x:c>
      <x:c r="I102" s="9" t="n"/>
      <x:c r="J102" s="8" t="inlineStr">
        <x:is>
          <x:t xml:space="preserve">未明确列入的项目</x:t>
        </x:is>
      </x:c>
      <x:c r="K102" s="8" t="n">
        <x:f>'主动改善评价'!C16</x:f>
        <x:v>1</x:v>
      </x:c>
      <x:c r="L102" s="15" t="n">
        <x:f>D102*K102</x:f>
        <x:v>50</x:v>
      </x:c>
    </x:row>
    <x:row r="103" ht="85" customHeight="1">
      <x:c r="A103" s="4" t="inlineStr">
        <x:is>
          <x:t xml:space="preserve">P052</x:t>
        </x:is>
      </x:c>
      <x:c r="B103" s="4" t="inlineStr">
        <x:is>
          <x:t xml:space="preserve">费用异常</x:t>
        </x:is>
      </x:c>
      <x:c r="C103" s="4" t="inlineStr">
        <x:is>
          <x:t xml:space="preserve">费用核查与Case申诉</x:t>
        </x:is>
      </x:c>
      <x:c r="D103" s="14" t="n">
        <x:v>25</x:v>
      </x:c>
      <x:c r="E103" s="4" t="inlineStr">
        <x:is>
          <x:t xml:space="preserve">同站点、同类原因且共用证据的一项费用问题。</x:t>
        </x:is>
      </x:c>
      <x:c r="F103" s="4" t="inlineStr">
        <x:is>
          <x:t xml:space="preserve">一项独立收费疑问，完成核查、差异计算、证据及Case跟进。</x:t>
        </x:is>
      </x:c>
      <x:c r="G103" s="4" t="inlineStr">
        <x:is>
          <x:t xml:space="preserve">常规运营本项最高25元；复杂情况仍须完成约定核查及交付，不因SKU数、操作次数或等待增加档位。需要独立数据分析时先明确新交付，同一分析及执行成果不重复计酬。</x:t>
        </x:is>
      </x:c>
      <x:c r="H103" s="4" t="inlineStr">
        <x:is>
          <x:t xml:space="preserve">涉及计算和证据组织，高于常规后台接受或拒绝。</x:t>
        </x:is>
      </x:c>
      <x:c r="I103" s="9" t="n"/>
      <x:c r="J103" s="4" t="inlineStr">
        <x:is>
          <x:t xml:space="preserve">未明确列入的项目</x:t>
        </x:is>
      </x:c>
      <x:c r="K103" s="4" t="n">
        <x:f>'主动改善评价'!C16</x:f>
        <x:v>1</x:v>
      </x:c>
      <x:c r="L103" s="16" t="n">
        <x:f>D103*K103</x:f>
        <x:v>25</x:v>
      </x:c>
    </x:row>
    <x:row r="104" ht="85" customHeight="1">
      <x:c r="A104" s="8" t="inlineStr">
        <x:is>
          <x:t xml:space="preserve">P053</x:t>
        </x:is>
      </x:c>
      <x:c r="B104" s="8" t="inlineStr">
        <x:is>
          <x:t xml:space="preserve">品牌保护</x:t>
        </x:is>
      </x:c>
      <x:c r="C104" s="8" t="inlineStr">
        <x:is>
          <x:t xml:space="preserve">跟卖情况检查（未启用）</x:t>
        </x:is>
      </x:c>
      <x:c r="D104" s="14" t="n">
        <x:v>5</x:v>
      </x:c>
      <x:c r="E104" s="8" t="inlineStr">
        <x:is>
          <x:t xml:space="preserve">一份约定清单/周（是否启用待确认）</x:t>
        </x:is>
      </x:c>
      <x:c r="F104" s="8" t="inlineStr">
        <x:is>
          <x:t xml:space="preserve">本项未启用，不自动生成应付报酬。正式启用时确认清单、责任人、频次和生效日期。</x:t>
        </x:is>
      </x:c>
      <x:c r="G104" s="8" t="inlineStr">
        <x:is>
          <x:t xml:space="preserve">5元/周仅为保留价格；启用前不计费。任务金额存在不代表已经批准执行或结算。</x:t>
        </x:is>
      </x:c>
      <x:c r="H104" s="8" t="inlineStr">
        <x:is>
          <x:t xml:space="preserve">小范围固定清单的简单人工例行检查，按周5元；是否启用仍待确认。</x:t>
        </x:is>
      </x:c>
      <x:c r="I104" s="9" t="n"/>
      <x:c r="J104" s="8" t="inlineStr">
        <x:is>
          <x:t xml:space="preserve">未明确列入的项目</x:t>
        </x:is>
      </x:c>
      <x:c r="K104" s="8" t="n">
        <x:f>'主动改善评价'!C16</x:f>
        <x:v>1</x:v>
      </x:c>
      <x:c r="L104" s="15" t="n">
        <x:f>D104*K104</x:f>
        <x:v>5</x:v>
      </x:c>
    </x:row>
    <x:row r="105" ht="85" customHeight="1">
      <x:c r="A105" s="4" t="inlineStr">
        <x:is>
          <x:t xml:space="preserve">P054</x:t>
        </x:is>
      </x:c>
      <x:c r="B105" s="4" t="inlineStr">
        <x:is>
          <x:t xml:space="preserve">品牌保护</x:t>
        </x:is>
      </x:c>
      <x:c r="C105" s="4" t="inlineStr">
        <x:is>
          <x:t xml:space="preserve">跟卖相关Brand Registry或Case处理</x:t>
        </x:is>
      </x:c>
      <x:c r="D105" s="14" t="n">
        <x:v>25</x:v>
      </x:c>
      <x:c r="E105" s="4" t="inlineStr">
        <x:is>
          <x:t xml:space="preserve">同站点、同一卖家、同一事实且共用证据的独立案件。</x:t>
        </x:is>
      </x:c>
      <x:c r="F105" s="4" t="inlineStr">
        <x:is>
          <x:t xml:space="preserve">利用已有证据完成一项Brand Registry或Case核查、提交及跟进。</x:t>
        </x:is>
      </x:c>
      <x:c r="G105" s="4" t="inlineStr">
        <x:is>
          <x:t xml:space="preserve">常规运营本项最高25元；复杂情况仍须完成约定核查及交付，不因SKU数、操作次数或等待增加档位。需要独立数据分析时先明确新交付，同一分析及执行成果不重复计酬。</x:t>
        </x:is>
      </x:c>
      <x:c r="H105" s="4" t="inlineStr">
        <x:is>
          <x:t xml:space="preserve">包含事实判断和投诉证据，不只是提交一次表单。</x:t>
        </x:is>
      </x:c>
      <x:c r="I105" s="9" t="n"/>
      <x:c r="J105" s="4" t="inlineStr">
        <x:is>
          <x:t xml:space="preserve">未明确列入的项目</x:t>
        </x:is>
      </x:c>
      <x:c r="K105" s="4" t="n">
        <x:f>'主动改善评价'!C16</x:f>
        <x:v>1</x:v>
      </x:c>
      <x:c r="L105" s="16" t="n">
        <x:f>D105*K105</x:f>
        <x:v>25</x:v>
      </x:c>
    </x:row>
    <x:row r="106" ht="85" customHeight="1">
      <x:c r="A106" s="8" t="inlineStr">
        <x:is>
          <x:t xml:space="preserve">P055</x:t>
        </x:is>
      </x:c>
      <x:c r="B106" s="8" t="inlineStr">
        <x:is>
          <x:t xml:space="preserve">品牌项目</x:t>
        </x:is>
      </x:c>
      <x:c r="C106" s="8" t="inlineStr">
        <x:is>
          <x:t xml:space="preserve">Vine报名及约定跟进—标准处理</x:t>
        </x:is>
      </x:c>
      <x:c r="D106" s="14" t="n">
        <x:v>15</x:v>
      </x:c>
      <x:c r="E106" s="8" t="inlineStr">
        <x:is>
          <x:t xml:space="preserve">后台一个独立报名项目及约定跟进范围。</x:t>
        </x:is>
      </x:c>
      <x:c r="F106" s="8" t="inlineStr">
        <x:is>
          <x:t xml:space="preserve">完成一个Vine项目的资格核对、报名及约定节点跟进。</x:t>
        </x:is>
      </x:c>
      <x:c r="G106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06" s="8" t="inlineStr">
        <x:is>
          <x:t xml:space="preserve">有多项参数核查和跟进，但流程基本标准化。</x:t>
        </x:is>
      </x:c>
      <x:c r="I106" s="9" t="n"/>
      <x:c r="J106" s="8" t="inlineStr">
        <x:is>
          <x:t xml:space="preserve">未明确列入的项目</x:t>
        </x:is>
      </x:c>
      <x:c r="K106" s="8" t="n">
        <x:f>'主动改善评价'!C16</x:f>
        <x:v>1</x:v>
      </x:c>
      <x:c r="L106" s="15" t="n">
        <x:f>D106*K106</x:f>
        <x:v>15</x:v>
      </x:c>
    </x:row>
    <x:row r="107" ht="85" customHeight="1">
      <x:c r="A107" s="4" t="inlineStr">
        <x:is>
          <x:t xml:space="preserve">P055-T5</x:t>
        </x:is>
      </x:c>
      <x:c r="B107" s="4" t="inlineStr">
        <x:is>
          <x:t xml:space="preserve">品牌项目</x:t>
        </x:is>
      </x:c>
      <x:c r="C107" s="4" t="inlineStr">
        <x:is>
          <x:t xml:space="preserve">Vine报名及约定跟进—25元档</x:t>
        </x:is>
      </x:c>
      <x:c r="D107" s="14" t="n">
        <x:v>25</x:v>
      </x:c>
      <x:c r="E107" s="4" t="inlineStr">
        <x:is>
          <x:t xml:space="preserve">后台一个独立报名项目及约定跟进范围。</x:t>
        </x:is>
      </x:c>
      <x:c r="F107" s="4" t="inlineStr">
        <x:is>
          <x:t xml:space="preserve">在完成该项目基本交付的基础上：需解决实际资格、库存或商品对应问题并完成报名；评论数量不触发升档。</x:t>
        </x:is>
      </x:c>
      <x:c r="G107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07" s="4" t="inlineStr">
        <x:is>
          <x:t xml:space="preserve">原升降档条件独立列行，沿用原25元标准；不是新增累计任务。</x:t>
        </x:is>
      </x:c>
      <x:c r="I107" s="9" t="n"/>
      <x:c r="J107" s="4" t="inlineStr">
        <x:is>
          <x:t xml:space="preserve">未明确列入的项目</x:t>
        </x:is>
      </x:c>
      <x:c r="K107" s="4" t="n">
        <x:f>'主动改善评价'!C16</x:f>
        <x:v>1</x:v>
      </x:c>
      <x:c r="L107" s="16" t="n">
        <x:f>D107*K107</x:f>
        <x:v>25</x:v>
      </x:c>
    </x:row>
    <x:row r="108" ht="85" customHeight="1">
      <x:c r="A108" s="8" t="inlineStr">
        <x:is>
          <x:t xml:space="preserve">P056-new</x:t>
        </x:is>
      </x:c>
      <x:c r="B108" s="8" t="inlineStr">
        <x:is>
          <x:t xml:space="preserve">品牌内容</x:t>
        </x:is>
      </x:c>
      <x:c r="C108" s="8" t="inlineStr">
        <x:is>
          <x:t xml:space="preserve">Brand Story全新制作或整体重做</x:t>
        </x:is>
      </x:c>
      <x:c r="D108" s="14" t="n">
        <x:v>25</x:v>
      </x:c>
      <x:c r="E108" s="8" t="inlineStr">
        <x:is>
          <x:t xml:space="preserve">一份独立内容</x:t>
        </x:is>
      </x:c>
      <x:c r="F108" s="8" t="inlineStr">
        <x:is>
          <x:t xml:space="preserve">独立完成一份品牌故事整体策划、文案、素材协调和发布绑定。</x:t>
        </x:is>
      </x:c>
      <x:c r="G108" s="8" t="inlineStr">
        <x:is>
          <x:t xml:space="preserve">全新或整体重做25元、模板适配15元、局改10元。同份同轮只选一档；制作含本次约定首次绑定。整体重做保留旧版本及新旧内容记录。</x:t>
        </x:is>
      </x:c>
      <x:c r="H108" s="8" t="inlineStr">
        <x:is>
          <x:t xml:space="preserve">品牌故事整体策划与发布属于运营内容制作，完整交付最高25元。</x:t>
        </x:is>
      </x:c>
      <x:c r="I108" s="9" t="n"/>
      <x:c r="J108" s="8" t="inlineStr">
        <x:is>
          <x:t xml:space="preserve">Listing内容实质重写</x:t>
        </x:is>
      </x:c>
      <x:c r="K108" s="8" t="n">
        <x:f>'主动改善评价'!C8</x:f>
        <x:v>2</x:v>
      </x:c>
      <x:c r="L108" s="15" t="n">
        <x:f>D108*K108</x:f>
        <x:v>50</x:v>
      </x:c>
    </x:row>
    <x:row r="109" ht="85" customHeight="1">
      <x:c r="A109" s="4" t="inlineStr">
        <x:is>
          <x:t xml:space="preserve">P056-template</x:t>
        </x:is>
      </x:c>
      <x:c r="B109" s="4" t="inlineStr">
        <x:is>
          <x:t xml:space="preserve">品牌内容</x:t>
        </x:is>
      </x:c>
      <x:c r="C109" s="4" t="inlineStr">
        <x:is>
          <x:t xml:space="preserve">Brand Story复用现成方案适配</x:t>
        </x:is>
      </x:c>
      <x:c r="D109" s="14" t="n">
        <x:v>15</x:v>
      </x:c>
      <x:c r="E109" s="4" t="inlineStr">
        <x:is>
          <x:t xml:space="preserve">一份独立内容</x:t>
        </x:is>
      </x:c>
      <x:c r="F109" s="4" t="inlineStr">
        <x:is>
          <x:t xml:space="preserve">沿用现有品牌故事方案，完成本次内容与素材适配、制作发布、约定绑定和核验。</x:t>
        </x:is>
      </x:c>
      <x:c r="G109" s="4" t="inlineStr">
        <x:is>
          <x:t xml:space="preserve">模板适配15元/份，低于独立全新制作25元；同份同轮与全新、局改互斥，制作含本次约定首次绑定。</x:t>
        </x:is>
      </x:c>
      <x:c r="H109" s="4" t="inlineStr">
        <x:is>
          <x:t xml:space="preserve">原规则已有的复用适配场景独立列行，本次只改展示结构，沿用25元。</x:t>
        </x:is>
      </x:c>
      <x:c r="I109" s="9" t="n"/>
      <x:c r="J109" s="4" t="inlineStr">
        <x:is>
          <x:t xml:space="preserve">未明确列入的项目</x:t>
        </x:is>
      </x:c>
      <x:c r="K109" s="4" t="n">
        <x:f>'主动改善评价'!C16</x:f>
        <x:v>1</x:v>
      </x:c>
      <x:c r="L109" s="16" t="n">
        <x:f>D109*K109</x:f>
        <x:v>15</x:v>
      </x:c>
    </x:row>
    <x:row r="110" ht="85" customHeight="1">
      <x:c r="A110" s="8" t="inlineStr">
        <x:is>
          <x:t xml:space="preserve">P056-edit</x:t>
        </x:is>
      </x:c>
      <x:c r="B110" s="8" t="inlineStr">
        <x:is>
          <x:t xml:space="preserve">品牌内容</x:t>
        </x:is>
      </x:c>
      <x:c r="C110" s="8" t="inlineStr">
        <x:is>
          <x:t xml:space="preserve">Brand Story局部修改</x:t>
        </x:is>
      </x:c>
      <x:c r="D110" s="14" t="n">
        <x:v>10</x:v>
      </x:c>
      <x:c r="E110" s="8" t="inlineStr">
        <x:is>
          <x:t xml:space="preserve">一份内容的一轮修改</x:t>
        </x:is>
      </x:c>
      <x:c r="F110" s="8" t="inlineStr">
        <x:is>
          <x:t xml:space="preserve">在原有品牌故事上增删信息、替换参数、少量图片或链接，保存前后记录并核验。</x:t>
        </x:is>
      </x:c>
      <x:c r="G110" s="8" t="inlineStr">
        <x:is>
          <x:t xml:space="preserve">固定10元/份/轮；不按修改次数累加，不设局改高档。确需模板适配或整体重做时转对应档，只补同轮已付差额。</x:t>
        </x:is>
      </x:c>
      <x:c r="H110" s="8" t="inlineStr">
        <x:is>
          <x:t xml:space="preserve">与A+局部修改采用相同金额。</x:t>
        </x:is>
      </x:c>
      <x:c r="I110" s="9" t="n"/>
      <x:c r="J110" s="8" t="inlineStr">
        <x:is>
          <x:t xml:space="preserve">Listing事实纠错及局部维护</x:t>
        </x:is>
      </x:c>
      <x:c r="K110" s="8" t="n">
        <x:f>'主动改善评价'!C12</x:f>
        <x:v>1.5</x:v>
      </x:c>
      <x:c r="L110" s="15" t="n">
        <x:f>D110*K110</x:f>
        <x:v>15</x:v>
      </x:c>
    </x:row>
    <x:row r="111" ht="85" customHeight="1">
      <x:c r="A111" s="4" t="inlineStr">
        <x:is>
          <x:t xml:space="preserve">P056-bind</x:t>
        </x:is>
      </x:c>
      <x:c r="B111" s="4" t="inlineStr">
        <x:is>
          <x:t xml:space="preserve">品牌内容</x:t>
        </x:is>
      </x:c>
      <x:c r="C111" s="4" t="inlineStr">
        <x:is>
          <x:t xml:space="preserve">已有Brand Story新增绑定</x:t>
        </x:is>
      </x:c>
      <x:c r="D111" s="14" t="n">
        <x:v>5</x:v>
      </x:c>
      <x:c r="E111" s="4" t="inlineStr">
        <x:is>
          <x:t xml:space="preserve">一个新增ASIN</x:t>
        </x:is>
      </x:c>
      <x:c r="F111" s="4" t="inlineStr">
        <x:is>
          <x:t xml:space="preserve">给一个原范围外新增ASIN绑定现有品牌故事并核验。</x:t>
        </x:is>
      </x:c>
      <x:c r="G111" s="4" t="inlineStr">
        <x:is>
          <x:t xml:space="preserve">无自动升档；原范围补绑重绑属于原任务。</x:t>
        </x:is>
      </x:c>
      <x:c r="H111" s="4" t="inlineStr">
        <x:is>
          <x:t xml:space="preserve">适用关系已明确，执行简单绑定和核验；不包含内容制作，按5元档。</x:t>
        </x:is>
      </x:c>
      <x:c r="I111" s="9" t="n"/>
      <x:c r="J111" s="4" t="inlineStr">
        <x:is>
          <x:t xml:space="preserve">未明确列入的项目</x:t>
        </x:is>
      </x:c>
      <x:c r="K111" s="4" t="n">
        <x:f>'主动改善评价'!C16</x:f>
        <x:v>1</x:v>
      </x:c>
      <x:c r="L111" s="16" t="n">
        <x:f>D111*K111</x:f>
        <x:v>5</x:v>
      </x:c>
    </x:row>
    <x:row r="112" ht="85" customHeight="1">
      <x:c r="A112" s="8" t="inlineStr">
        <x:is>
          <x:t xml:space="preserve">P057</x:t>
        </x:is>
      </x:c>
      <x:c r="B112" s="8" t="inlineStr">
        <x:is>
          <x:t xml:space="preserve">订阅销售</x:t>
        </x:is>
      </x:c>
      <x:c r="C112" s="8" t="inlineStr">
        <x:is>
          <x:t xml:space="preserve">Subscribe &amp; Save设置与维护—标准处理</x:t>
        </x:is>
      </x:c>
      <x:c r="D112" s="14" t="n">
        <x:v>10</x:v>
      </x:c>
      <x:c r="E112" s="8" t="inlineStr">
        <x:is>
          <x:t xml:space="preserve">同站点、同一订阅方案的一批设置。</x:t>
        </x:is>
      </x:c>
      <x:c r="F112" s="8" t="inlineStr">
        <x:is>
          <x:t xml:space="preserve">按确认方案完成同站点一批订阅商品或折扣设置与核验。</x:t>
        </x:is>
      </x:c>
      <x:c r="G112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12" s="8" t="inlineStr">
        <x:is>
          <x:t xml:space="preserve">主要为既定方案执行。</x:t>
        </x:is>
      </x:c>
      <x:c r="I112" s="9" t="n"/>
      <x:c r="J112" s="8" t="inlineStr">
        <x:is>
          <x:t xml:space="preserve">未明确列入的项目</x:t>
        </x:is>
      </x:c>
      <x:c r="K112" s="8" t="n">
        <x:f>'主动改善评价'!C16</x:f>
        <x:v>1</x:v>
      </x:c>
      <x:c r="L112" s="15" t="n">
        <x:f>D112*K112</x:f>
        <x:v>10</x:v>
      </x:c>
    </x:row>
    <x:row r="113" ht="85" customHeight="1">
      <x:c r="A113" s="4" t="inlineStr">
        <x:is>
          <x:t xml:space="preserve">P057-T3</x:t>
        </x:is>
      </x:c>
      <x:c r="B113" s="4" t="inlineStr">
        <x:is>
          <x:t xml:space="preserve">订阅销售</x:t>
        </x:is>
      </x:c>
      <x:c r="C113" s="4" t="inlineStr">
        <x:is>
          <x:t xml:space="preserve">Subscribe &amp; Save设置与维护—15元档</x:t>
        </x:is>
      </x:c>
      <x:c r="D113" s="14" t="n">
        <x:v>15</x:v>
      </x:c>
      <x:c r="E113" s="4" t="inlineStr">
        <x:is>
          <x:t xml:space="preserve">同站点、同一订阅方案的一批设置。</x:t>
        </x:is>
      </x:c>
      <x:c r="F113" s="4" t="inlineStr">
        <x:is>
          <x:t xml:space="preserve">在完成该项目基本交付的基础上：需逐项核对资格差异或解决设置对应问题；独立订阅策略分析另定范围。</x:t>
        </x:is>
      </x:c>
      <x:c r="G113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13" s="4" t="inlineStr">
        <x:is>
          <x:t xml:space="preserve">原升降档条件独立列行，沿用原15元标准；不是新增累计任务。</x:t>
        </x:is>
      </x:c>
      <x:c r="I113" s="9" t="n"/>
      <x:c r="J113" s="4" t="inlineStr">
        <x:is>
          <x:t xml:space="preserve">未明确列入的项目</x:t>
        </x:is>
      </x:c>
      <x:c r="K113" s="4" t="n">
        <x:f>'主动改善评价'!C16</x:f>
        <x:v>1</x:v>
      </x:c>
      <x:c r="L113" s="16" t="n">
        <x:f>D113*K113</x:f>
        <x:v>15</x:v>
      </x:c>
    </x:row>
    <x:row r="114" ht="85" customHeight="1">
      <x:c r="A114" s="8" t="inlineStr">
        <x:is>
          <x:t xml:space="preserve">P058-new</x:t>
        </x:is>
      </x:c>
      <x:c r="B114" s="8" t="inlineStr">
        <x:is>
          <x:t xml:space="preserve">组合销售</x:t>
        </x:is>
      </x:c>
      <x:c r="C114" s="8" t="inlineStr">
        <x:is>
          <x:t xml:space="preserve">Virtual Bundle创建</x:t>
        </x:is>
      </x:c>
      <x:c r="D114" s="14" t="n">
        <x:v>25</x:v>
      </x:c>
      <x:c r="E114" s="8" t="inlineStr">
        <x:is>
          <x:t xml:space="preserve">一个独立组合的新建或一轮维护</x:t>
        </x:is>
      </x:c>
      <x:c r="F114" s="8" t="inlineStr">
        <x:is>
          <x:t xml:space="preserve">组合方案与素材已提供，完成一个Virtual Bundle创建和核验。</x:t>
        </x:is>
      </x:c>
      <x:c r="G114" s="8" t="inlineStr">
        <x:is>
          <x:t xml:space="preserve">常规运营本项最高25元；复杂情况仍须完成约定核查及交付，不因SKU数、操作次数或等待增加档位。需要独立数据分析时先明确新交付，同一分析及执行成果不重复计酬。</x:t>
        </x:is>
      </x:c>
      <x:c r="H114" s="8" t="inlineStr">
        <x:is>
          <x:t xml:space="preserve">包含组合及多项商品资料核对，工作量接近标准Listing创建。</x:t>
        </x:is>
      </x:c>
      <x:c r="I114" s="9" t="n"/>
      <x:c r="J114" s="8" t="inlineStr">
        <x:is>
          <x:t xml:space="preserve">未明确列入的项目</x:t>
        </x:is>
      </x:c>
      <x:c r="K114" s="8" t="n">
        <x:f>'主动改善评价'!C16</x:f>
        <x:v>1</x:v>
      </x:c>
      <x:c r="L114" s="15" t="n">
        <x:f>D114*K114</x:f>
        <x:v>25</x:v>
      </x:c>
    </x:row>
    <x:row r="115" ht="85" customHeight="1">
      <x:c r="A115" s="4" t="inlineStr">
        <x:is>
          <x:t xml:space="preserve">P058-edit</x:t>
        </x:is>
      </x:c>
      <x:c r="B115" s="4" t="inlineStr">
        <x:is>
          <x:t xml:space="preserve">组合销售</x:t>
        </x:is>
      </x:c>
      <x:c r="C115" s="4" t="inlineStr">
        <x:is>
          <x:t xml:space="preserve">Virtual Bundle维护—标准处理</x:t>
        </x:is>
      </x:c>
      <x:c r="D115" s="14" t="n">
        <x:v>10</x:v>
      </x:c>
      <x:c r="E115" s="4" t="inlineStr">
        <x:is>
          <x:t xml:space="preserve">一个独立组合的新建或一轮维护</x:t>
        </x:is>
      </x:c>
      <x:c r="F115" s="4" t="inlineStr">
        <x:is>
          <x:t xml:space="preserve">按明确要求维护一个已有虚拟组合的可编辑内容及核验。</x:t>
        </x:is>
      </x:c>
      <x:c r="G115" s="4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15" s="4" t="inlineStr">
        <x:is>
          <x:t xml:space="preserve">标准局部维护，复杂度低于新建。</x:t>
        </x:is>
      </x:c>
      <x:c r="I115" s="9" t="n"/>
      <x:c r="J115" s="4" t="inlineStr">
        <x:is>
          <x:t xml:space="preserve">未明确列入的项目</x:t>
        </x:is>
      </x:c>
      <x:c r="K115" s="4" t="n">
        <x:f>'主动改善评价'!C16</x:f>
        <x:v>1</x:v>
      </x:c>
      <x:c r="L115" s="16" t="n">
        <x:f>D115*K115</x:f>
        <x:v>10</x:v>
      </x:c>
    </x:row>
    <x:row r="116" ht="85" customHeight="1">
      <x:c r="A116" s="8" t="inlineStr">
        <x:is>
          <x:t xml:space="preserve">P058-edit-T3</x:t>
        </x:is>
      </x:c>
      <x:c r="B116" s="8" t="inlineStr">
        <x:is>
          <x:t xml:space="preserve">组合销售</x:t>
        </x:is>
      </x:c>
      <x:c r="C116" s="8" t="inlineStr">
        <x:is>
          <x:t xml:space="preserve">Virtual Bundle维护—15元档</x:t>
        </x:is>
      </x:c>
      <x:c r="D116" s="14" t="n">
        <x:v>15</x:v>
      </x:c>
      <x:c r="E116" s="8" t="inlineStr">
        <x:is>
          <x:t xml:space="preserve">一个独立组合的新建或一轮维护</x:t>
        </x:is>
      </x:c>
      <x:c r="F116" s="8" t="inlineStr">
        <x:is>
          <x:t xml:space="preserve">在完成该项目基本交付的基础上：需核实并解决多个对应关系或资料差异；重新设计组合需另确认实际新范围。</x:t>
        </x:is>
      </x:c>
      <x:c r="G116" s="8" t="inlineStr">
        <x:is>
          <x:t xml:space="preserve">同一任务同一轮只选择一个适用档；不得把低档和高档相加。实际发生对应条件并完成交付才可选档；等待、反复提交和本人返工不提高金额。其他包含及排除范围沿用工作内容。</x:t>
        </x:is>
      </x:c>
      <x:c r="H116" s="8" t="inlineStr">
        <x:is>
          <x:t xml:space="preserve">原升降档条件独立列行，沿用原15元标准；不是新增累计任务。</x:t>
        </x:is>
      </x:c>
      <x:c r="I116" s="9" t="n"/>
      <x:c r="J116" s="8" t="inlineStr">
        <x:is>
          <x:t xml:space="preserve">未明确列入的项目</x:t>
        </x:is>
      </x:c>
      <x:c r="K116" s="8" t="n">
        <x:f>'主动改善评价'!C16</x:f>
        <x:v>1</x:v>
      </x:c>
      <x:c r="L116" s="15" t="n">
        <x:f>D116*K116</x:f>
        <x:v>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32" customWidth="1"/>
    <x:col min="2" max="2" width="90" customWidth="1"/>
    <x:col min="3" max="3" width="14" customWidth="1"/>
    <x:col min="4" max="4" width="105" customWidth="1"/>
  </x:cols>
  <x:sheetData>
    <x:row r="2" ht="28" customHeight="1">
      <x:c r="A2" s="1" t="inlineStr">
        <x:is>
          <x:t xml:space="preserve">主动改善评价</x:t>
        </x:is>
      </x:c>
    </x:row>
    <x:row r="3" ht="23" customHeight="1">
      <x:c r="A3" s="2" t="inlineStr">
        <x:is>
          <x:t xml:space="preserve">沿用最近确认的九类主动倍率。未列项目含普通新品开发/经营分析暂按×1，不恢复旧表新增的×1.5。</x:t>
        </x:is>
      </x:c>
    </x:row>
    <x:row r="4" ht="23" customHeight="1">
      <x:c r="A4" s="2" t="inlineStr">
        <x:is>
          <x:t xml:space="preserve">员工先提出建议、经批准后执行仍属主动；负责人已安排的工作不是自主发起。本人责任纠错、漏做补做不新增金额。</x:t>
        </x:is>
      </x:c>
    </x:row>
    <x:row r="5" ht="23" customHeight="1">
      <x:c r="A5" s="2" t="inlineStr">
        <x:is>
          <x:t xml:space="preserve">单纯使用Skill生成文本不自动获得×2；必须满足主动问题分析、实质改写及约定复盘条件。</x:t>
        </x:is>
      </x:c>
    </x:row>
    <x:row r="6" ht="23" customHeight="1">
      <x:c r="A6" s="2" t="inlineStr">
        <x:is>
          <x:t xml:space="preserve">同一交付只结算一次乘倍率后的金额；广告同案奖励按累计总额补差，详见广告优化规则。</x:t>
        </x:is>
      </x:c>
    </x:row>
    <x:row r="7" ht="48" customHeight="1">
      <x:c r="A7" s="7" t="inlineStr">
        <x:is>
          <x:t xml:space="preserve">工作分类</x:t>
        </x:is>
      </x:c>
      <x:c r="B7" s="7" t="inlineStr">
        <x:is>
          <x:t xml:space="preserve">对应项目</x:t>
        </x:is>
      </x:c>
      <x:c r="C7" s="7" t="inlineStr">
        <x:is>
          <x:t xml:space="preserve">主动倍率</x:t>
        </x:is>
      </x:c>
      <x:c r="D7" s="7" t="inlineStr">
        <x:is>
          <x:t xml:space="preserve">认定条件</x:t>
        </x:is>
      </x:c>
    </x:row>
    <x:row r="8" ht="85" customHeight="1">
      <x:c r="A8" s="8" t="inlineStr">
        <x:is>
          <x:t xml:space="preserve">Listing内容实质重写</x:t>
        </x:is>
      </x:c>
      <x:c r="B8" s="8" t="inlineStr">
        <x:is>
          <x:t xml:space="preserve">标题编写与优化、五点编写与优化、描述编写与优化、Generic Keywords编写与优化、全新制作或完全重做A+、Brand Story全新制作或整体重做</x:t>
        </x:is>
      </x:c>
      <x:c r="C8" s="9" t="n">
        <x:v>2</x:v>
      </x:c>
      <x:c r="D8" s="8" t="inlineStr">
        <x:is>
          <x:t xml:space="preserve">主动分析问题、提出方案，实际重写或重做并完成复盘。单纯纠错、翻译、上传已有内容不属于此档。</x:t>
        </x:is>
      </x:c>
    </x:row>
    <x:row r="9" ht="85" customHeight="1">
      <x:c r="A9" s="4" t="inlineStr">
        <x:is>
          <x:t xml:space="preserve">广告新建</x:t>
        </x:is>
      </x:c>
      <x:c r="B9" s="4" t="inlineStr">
        <x:is>
          <x:t xml:space="preserve">SP广告创建、SB广告创建、SBV广告创建、SD广告创建</x:t>
        </x:is>
      </x:c>
      <x:c r="C9" s="9" t="n">
        <x:v>2</x:v>
      </x:c>
      <x:c r="D9" s="4" t="inlineStr">
        <x:is>
          <x:t xml:space="preserve">仅独立创建任务：主动提出投放机会，说明产品、方向和测试目标，完成创建和复盘。若新建包含于一个优化方案，改按广告优化×1整轮计，不叠加创建报酬；已付创建报酬从同案最终金额中扣除，不重复结算。</x:t>
        </x:is>
      </x:c>
    </x:row>
    <x:row r="10" ht="85" customHeight="1">
      <x:c r="A10" s="8" t="inlineStr">
        <x:is>
          <x:t xml:space="preserve">广告调整</x:t>
        </x:is>
      </x:c>
      <x:c r="B10" s="8" t="inlineStr">
        <x:is>
          <x:t xml:space="preserve">广告执行及分析优化六档：10、15、25、40、50、75元</x:t>
        </x:is>
      </x:c>
      <x:c r="C10" s="9" t="n">
        <x:v>1</x:v>
      </x:c>
      <x:c r="D10" s="8" t="inlineStr">
        <x:is>
          <x:t xml:space="preserve">受派、主动均×1。广告任务档同Campaign同轮最高75元；每自然周最多2次有效调整，跨人员/来源合并。另达成果奖标准时，可升级到同案累计100元或300元，只补差额，不能重复相加。</x:t>
        </x:is>
      </x:c>
    </x:row>
    <x:row r="11" ht="85" customHeight="1">
      <x:c r="A11" s="4" t="inlineStr">
        <x:is>
          <x:t xml:space="preserve">异常处理／申诉</x:t>
        </x:is>
      </x:c>
      <x:c r="B11" s="4" t="inlineStr">
        <x:is>
          <x:t xml:space="preserve">Listing异常申诉与Case处理、Buy Box异常处理、Brand Store提交阻断问题处理</x:t>
        </x:is>
      </x:c>
      <x:c r="C11" s="9" t="n">
        <x:v>1.5</x:v>
      </x:c>
      <x:c r="D11" s="4" t="inlineStr">
        <x:is>
          <x:t xml:space="preserve">主动发现、及时记录并推动处理；同一问题反复提交只计一次。</x:t>
        </x:is>
      </x:c>
    </x:row>
    <x:row r="12" ht="85" customHeight="1">
      <x:c r="A12" s="8" t="inlineStr">
        <x:is>
          <x:t xml:space="preserve">Listing事实纠错及局部维护</x:t>
        </x:is>
      </x:c>
      <x:c r="B12" s="8" t="inlineStr">
        <x:is>
          <x:t xml:space="preserve">Listing纠错、A+内容增删修改、图片维护、视频上传与信息维护、变体关系维护、Brand Story局部修改</x:t>
        </x:is>
      </x:c>
      <x:c r="C12" s="9" t="n">
        <x:v>1.5</x:v>
      </x:c>
      <x:c r="D12" s="8" t="inlineStr">
        <x:is>
          <x:t xml:space="preserve">主动发现并完成纠正或维护。事实纠错≠内容实质重写，不适用×2。</x:t>
        </x:is>
      </x:c>
    </x:row>
    <x:row r="13" ht="85" customHeight="1">
      <x:c r="A13" s="4" t="inlineStr">
        <x:is>
          <x:t xml:space="preserve">价格／促销／库存等执行类</x:t>
        </x:is>
      </x:c>
      <x:c r="B13" s="4" t="inlineStr">
        <x:is>
          <x:t xml:space="preserve">价格调整、Coupon与Promotion创建、Deal活动提报、库存移除／Relist／申诉／资料提交</x:t>
        </x:is>
      </x:c>
      <x:c r="C13" s="9" t="n">
        <x:v>1.5</x:v>
      </x:c>
      <x:c r="D13" s="4" t="inlineStr">
        <x:is>
          <x:t xml:space="preserve">主动发现具体问题或机会，提出合理措施并完成处理。</x:t>
        </x:is>
      </x:c>
    </x:row>
    <x:row r="14" ht="85" customHeight="1">
      <x:c r="A14" s="8" t="inlineStr">
        <x:is>
          <x:t xml:space="preserve">Brand Store维护</x:t>
        </x:is>
      </x:c>
      <x:c r="B14" s="8" t="inlineStr">
        <x:is>
          <x:t xml:space="preserve">二级类目商品维护、二级类目模块新增或重建</x:t>
        </x:is>
      </x:c>
      <x:c r="C14" s="9" t="n">
        <x:v>1.5</x:v>
      </x:c>
      <x:c r="D14" s="8" t="inlineStr">
        <x:is>
          <x:t xml:space="preserve">主动发现维护需求并完成更新。</x:t>
        </x:is>
      </x:c>
    </x:row>
    <x:row r="15" ht="85" customHeight="1">
      <x:c r="A15" s="4" t="inlineStr">
        <x:is>
          <x:t xml:space="preserve">固定例行工作</x:t>
        </x:is>
      </x:c>
      <x:c r="B15" s="4" t="inlineStr">
        <x:is>
          <x:t xml:space="preserve">VOC数据更新与AI分析、Category Report下载、关键词市场占有率统计及竞品检查、A+翻译后发布、翻译后批量更新Listing文案</x:t>
        </x:is>
      </x:c>
      <x:c r="C15" s="9" t="n">
        <x:v>1</x:v>
      </x:c>
      <x:c r="D15" s="4" t="inlineStr">
        <x:is>
          <x:t xml:space="preserve">固定周期或已有内容的翻译发布任务，不享受主动倍率。</x:t>
        </x:is>
      </x:c>
    </x:row>
    <x:row r="16" ht="85" customHeight="1">
      <x:c r="A16" s="8" t="inlineStr">
        <x:is>
          <x:t xml:space="preserve">未明确列入的项目</x:t>
        </x:is>
      </x:c>
      <x:c r="B16" s="8" t="inlineStr">
        <x:is>
          <x:t xml:space="preserve">暂按×1，不自行套用高倍率</x:t>
        </x:is>
      </x:c>
      <x:c r="C16" s="9" t="n">
        <x:v>1</x:v>
      </x:c>
      <x:c r="D16" s="8" t="inlineStr">
        <x:is>
          <x:t xml:space="preserve">如有争议，由负责人认定适用分类。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15" customWidth="1"/>
    <x:col min="2" max="2" width="18" customWidth="1"/>
    <x:col min="3" max="3" width="32" customWidth="1"/>
    <x:col min="4" max="4" width="39" customWidth="1"/>
    <x:col min="5" max="5" width="60" customWidth="1"/>
    <x:col min="6" max="6" width="46" customWidth="1"/>
    <x:col min="7" max="7" width="34" customWidth="1"/>
    <x:col min="8" max="8" width="62" customWidth="1"/>
    <x:col min="9" max="9" width="24" customWidth="1"/>
    <x:col min="10" max="10" width="55" customWidth="1"/>
  </x:cols>
  <x:sheetData>
    <x:row r="2" ht="28" customHeight="1">
      <x:c r="A2" s="1" t="inlineStr">
        <x:is>
          <x:t xml:space="preserve">运营工作明细</x:t>
        </x:is>
      </x:c>
    </x:row>
    <x:row r="3" ht="23" customHeight="1">
      <x:c r="A3" s="2" t="inlineStr">
        <x:is>
          <x:t xml:space="preserve">工作内容用于界定范围；直接金额、单位及互斥规则以任务报酬为准。</x:t>
        </x:is>
      </x:c>
    </x:row>
    <x:row r="4" ht="23" customHeight="1">
      <x:c r="A4" s="2" t="inlineStr">
        <x:is>
          <x:t xml:space="preserve">上架包含按提供资料经Skill改写、填表及本次关系设置；不能将其中同一文案另建付费交付。</x:t>
        </x:is>
      </x:c>
    </x:row>
    <x:row r="5" ht="23" customHeight="1">
      <x:c r="A5" s="2" t="inlineStr">
        <x:is>
          <x:t xml:space="preserve">P011-b现为完整A+策划制作25元，不再把旧内容说明中的策划与制作两阶段累计收费。</x:t>
        </x:is>
      </x:c>
    </x:row>
    <x:row r="6" ht="23" customHeight="1">
      <x:c r="A6" s="2" t="inlineStr">
        <x:is>
          <x:t xml:space="preserve">原项目编号供关联使用；实际工作在任务报酬中已进一步拆为独立档位。</x:t>
        </x:is>
      </x:c>
    </x:row>
    <x:row r="7" ht="48" customHeight="1">
      <x:c r="A7" s="7" t="inlineStr">
        <x:is>
          <x:t xml:space="preserve">原项目编号</x:t>
        </x:is>
      </x:c>
      <x:c r="B7" s="7" t="inlineStr">
        <x:is>
          <x:t xml:space="preserve">一级分类</x:t>
        </x:is>
      </x:c>
      <x:c r="C7" s="7" t="inlineStr">
        <x:is>
          <x:t xml:space="preserve">工作项目/场景</x:t>
        </x:is>
      </x:c>
      <x:c r="D7" s="7" t="inlineStr">
        <x:is>
          <x:t xml:space="preserve">收到任务时已有资料（初稿假设）</x:t>
        </x:is>
      </x:c>
      <x:c r="E7" s="7" t="inlineStr">
        <x:is>
          <x:t xml:space="preserve">员工实际需要完成的工作</x:t>
        </x:is>
      </x:c>
      <x:c r="F7" s="7" t="inlineStr">
        <x:is>
          <x:t xml:space="preserve">完成标准/应交付内容</x:t>
        </x:is>
      </x:c>
      <x:c r="G7" s="7" t="inlineStr">
        <x:is>
          <x:t xml:space="preserve">建议计量单位（待确认）</x:t>
        </x:is>
      </x:c>
      <x:c r="H7" s="7" t="inlineStr">
        <x:is>
          <x:t xml:space="preserve">复杂情况及包含范围</x:t>
        </x:is>
      </x:c>
      <x:c r="I7" s="7" t="inlineStr">
        <x:is>
          <x:t xml:space="preserve">通常有效耗时（你填写）</x:t>
        </x:is>
      </x:c>
      <x:c r="J7" s="7" t="inlineStr">
        <x:is>
          <x:t xml:space="preserve">你的修改或补充</x:t>
        </x:is>
      </x:c>
    </x:row>
    <x:row r="8" ht="85" customHeight="1">
      <x:c r="A8" s="8" t="inlineStr">
        <x:is>
          <x:t xml:space="preserve">P001</x:t>
        </x:is>
      </x:c>
      <x:c r="B8" s="8" t="inlineStr">
        <x:is>
          <x:t xml:space="preserve">新品上架</x:t>
        </x:is>
      </x:c>
      <x:c r="C8" s="8" t="inlineStr">
        <x:is>
          <x:t xml:space="preserve">Listing创建</x:t>
        </x:is>
      </x:c>
      <x:c r="D8" s="8" t="inlineStr">
        <x:is>
          <x:t xml:space="preserve">SKU、产品参数、负责人提供的文案初稿、目标站点。</x:t>
        </x:is>
      </x:c>
      <x:c r="E8" s="8" t="inlineStr">
        <x:is>
          <x:t xml:space="preserve">下载对应上架模板；用Codex整理改写已有文案；核对缺项并索要资料；填写、上传、处理报错并检查页面。涉及变体时同步处理关系。</x:t>
        </x:is>
      </x:c>
      <x:c r="F8" s="8" t="inlineStr">
        <x:is>
          <x:t xml:space="preserve">约定SKU上架完成；关键参数、文案和父子关系核验正确；保留模板及处理结果。</x:t>
        </x:is>
      </x:c>
      <x:c r="G8" s="8" t="inlineStr">
        <x:is>
          <x:t xml:space="preserve">同一业务需求、同站点、可共用上架表的一组SKU。</x:t>
        </x:is>
      </x:c>
      <x:c r="H8" s="8" t="inlineStr">
        <x:is>
          <x:t xml:space="preserve">区分无变体、处理一个父体、处理多个父体。已有文案改写属于本项；独立研究卖点和原创内容另看实际交付，不能重复算。</x:t>
        </x:is>
      </x:c>
      <x:c r="I8" s="8" t="n"/>
      <x:c r="J8" s="8" t="n"/>
    </x:row>
    <x:row r="9" ht="85" customHeight="1">
      <x:c r="A9" s="4" t="inlineStr">
        <x:is>
          <x:t xml:space="preserve">P002-a</x:t>
        </x:is>
      </x:c>
      <x:c r="B9" s="4" t="inlineStr">
        <x:is>
          <x:t xml:space="preserve">新品上架</x:t>
        </x:is>
      </x:c>
      <x:c r="C9" s="4" t="inlineStr">
        <x:is>
          <x:t xml:space="preserve">首轮图片上传：已有图片</x:t>
        </x:is>
      </x:c>
      <x:c r="D9" s="4" t="inlineStr">
        <x:is>
          <x:t xml:space="preserve">OA已有完整可用图片，并能对应到SKU。</x:t>
        </x:is>
      </x:c>
      <x:c r="E9" s="4" t="inlineStr">
        <x:is>
          <x:t xml:space="preserve">核对图片与SKU；按要求上传主图、辅图；检查顺序、显示和上传结果。</x:t>
        </x:is>
      </x:c>
      <x:c r="F9" s="4" t="inlineStr">
        <x:is>
          <x:t xml:space="preserve">各SKU图片完整且对应正确，页面显示正常。</x:t>
        </x:is>
      </x:c>
      <x:c r="G9" s="4" t="inlineStr">
        <x:is>
          <x:t xml:space="preserve">SKU；目标站点范围在任务中列明。</x:t>
        </x:is>
      </x:c>
      <x:c r="H9" s="4" t="inlineStr">
        <x:is>
          <x:t xml:space="preserve">每个SKU使用自己的图片；上传失败重试和原范围漏图补传包含在本次任务中。</x:t>
        </x:is>
      </x:c>
      <x:c r="I9" s="4" t="n"/>
      <x:c r="J9" s="4" t="n"/>
    </x:row>
    <x:row r="10" ht="85" customHeight="1">
      <x:c r="A10" s="8" t="inlineStr">
        <x:is>
          <x:t xml:space="preserve">P002-b</x:t>
        </x:is>
      </x:c>
      <x:c r="B10" s="8" t="inlineStr">
        <x:is>
          <x:t xml:space="preserve">新品上架</x:t>
        </x:is>
      </x:c>
      <x:c r="C10" s="8" t="inlineStr">
        <x:is>
          <x:t xml:space="preserve">首轮图片上传：需要取图</x:t>
        </x:is>
      </x:c>
      <x:c r="D10" s="8" t="inlineStr">
        <x:is>
          <x:t xml:space="preserve">有SKU和产品负责人，OA图片缺失或不完整。</x:t>
        </x:is>
      </x:c>
      <x:c r="E10" s="8" t="inlineStr">
        <x:is>
          <x:t xml:space="preserve">联系负责人索要、确认图片；跟进交付；取得可用图片后上传并核验。</x:t>
        </x:is>
      </x:c>
      <x:c r="F10" s="8" t="inlineStr">
        <x:is>
          <x:t xml:space="preserve">取得符合要求的图片，并完成约定SKU的上传核验。</x:t>
        </x:is>
      </x:c>
      <x:c r="G10" s="8" t="inlineStr">
        <x:is>
          <x:t xml:space="preserve">SKU；多SKU共用的沟通工作需注明。</x:t>
        </x:is>
      </x:c>
      <x:c r="H10" s="8" t="inlineStr">
        <x:is>
          <x:t xml:space="preserve">主要增加资料确认和沟通工作；等待时间单独记录。需要安排样品拍摄时，转相应协调任务。</x:t>
        </x:is>
      </x:c>
      <x:c r="I10" s="8" t="n"/>
      <x:c r="J10" s="8" t="n"/>
    </x:row>
    <x:row r="11" ht="85" customHeight="1">
      <x:c r="A11" s="4" t="inlineStr">
        <x:is>
          <x:t xml:space="preserve">P003</x:t>
        </x:is>
      </x:c>
      <x:c r="B11" s="4" t="inlineStr">
        <x:is>
          <x:t xml:space="preserve">素材准备</x:t>
        </x:is>
      </x:c>
      <x:c r="C11" s="4" t="inlineStr">
        <x:is>
          <x:t xml:space="preserve">样品备货与拍摄协调</x:t>
        </x:is>
      </x:c>
      <x:c r="D11" s="4" t="inlineStr">
        <x:is>
          <x:t xml:space="preserve">样品需求、SKU、收货或交接要求。</x:t>
        </x:is>
      </x:c>
      <x:c r="E11" s="4" t="inlineStr">
        <x:is>
          <x:t xml:space="preserve">创建备货计划；跟进审核和到货；把样品交接美工；说明拍摄需求；跟进并核对收图。</x:t>
        </x:is>
      </x:c>
      <x:c r="F11" s="4" t="inlineStr">
        <x:is>
          <x:t xml:space="preserve">样品正确交接；约定的可用图片已收到，缺项已处理。</x:t>
        </x:is>
      </x:c>
      <x:c r="G11" s="4" t="inlineStr">
        <x:is>
          <x:t xml:space="preserve">一次独立的备货及拍摄协调安排。</x:t>
        </x:is>
      </x:c>
      <x:c r="H11" s="4" t="inlineStr">
        <x:is>
          <x:t xml:space="preserve">系统审核、专人采购、美工拍摄；本人不承担实际采购、拍照或修图。多SKU共用一次安排需标明。</x:t>
        </x:is>
      </x:c>
      <x:c r="I11" s="4" t="n"/>
      <x:c r="J11" s="4" t="n"/>
    </x:row>
    <x:row r="12" ht="85" customHeight="1">
      <x:c r="A12" s="8" t="inlineStr">
        <x:is>
          <x:t xml:space="preserve">P004-a</x:t>
        </x:is>
      </x:c>
      <x:c r="B12" s="8" t="inlineStr">
        <x:is>
          <x:t xml:space="preserve">A+内容</x:t>
        </x:is>
      </x:c>
      <x:c r="C12" s="8" t="inlineStr">
        <x:is>
          <x:t xml:space="preserve">已有A+新增绑定</x:t>
        </x:is>
      </x:c>
      <x:c r="D12" s="8" t="inlineStr">
        <x:is>
          <x:t xml:space="preserve">已有可用A+及本次需要新增绑定的SKU清单。</x:t>
        </x:is>
      </x:c>
      <x:c r="E12" s="8" t="inlineStr">
        <x:is>
          <x:t xml:space="preserve">确认内容适用性和商品对应关系；新增绑定；检查应用结果。</x:t>
        </x:is>
      </x:c>
      <x:c r="F12" s="8" t="inlineStr">
        <x:is>
          <x:t xml:space="preserve">新增商品与正确A+建立关系，并记录应用状态。</x:t>
        </x:is>
      </x:c>
      <x:c r="G12" s="8" t="inlineStr">
        <x:is>
          <x:t xml:space="preserve">原任务范围以外的新增SKU。</x:t>
        </x:is>
      </x:c>
      <x:c r="H12" s="8" t="inlineStr">
        <x:is>
          <x:t xml:space="preserve">新制作A+原本应绑定的商品、漏绑补绑、解绑重绑包含在原任务中，不另立新增工作。</x:t>
        </x:is>
      </x:c>
      <x:c r="I12" s="8" t="n"/>
      <x:c r="J12" s="8" t="n"/>
    </x:row>
    <x:row r="13" ht="85" customHeight="1">
      <x:c r="A13" s="4" t="inlineStr">
        <x:is>
          <x:t xml:space="preserve">P005-a</x:t>
        </x:is>
      </x:c>
      <x:c r="B13" s="4" t="inlineStr">
        <x:is>
          <x:t xml:space="preserve">视频内容</x:t>
        </x:is>
      </x:c>
      <x:c r="C13" s="4" t="inlineStr">
        <x:is>
          <x:t xml:space="preserve">已有视频信息修改</x:t>
        </x:is>
      </x:c>
      <x:c r="D13" s="4" t="inlineStr">
        <x:is>
          <x:t xml:space="preserve">视频编号、原信息及修改要求。</x:t>
        </x:is>
      </x:c>
      <x:c r="E13" s="4" t="inlineStr">
        <x:is>
          <x:t xml:space="preserve">修改视频标题等可编辑信息；保存并核验。</x:t>
        </x:is>
      </x:c>
      <x:c r="F13" s="4" t="inlineStr">
        <x:is>
          <x:t xml:space="preserve">指定信息已正确更新，保留前后记录。</x:t>
        </x:is>
      </x:c>
      <x:c r="G13" s="4" t="inlineStr">
        <x:is>
          <x:t xml:space="preserve">同一视频的一轮修改。</x:t>
        </x:is>
      </x:c>
      <x:c r="H13" s="4" t="inlineStr">
        <x:is>
          <x:t xml:space="preserve">不包含重拍或剪辑；上传新视频时首次标题填写已含在上传中。</x:t>
        </x:is>
      </x:c>
      <x:c r="I13" s="4" t="n"/>
      <x:c r="J13" s="4" t="n"/>
    </x:row>
    <x:row r="14" ht="85" customHeight="1">
      <x:c r="A14" s="8" t="inlineStr">
        <x:is>
          <x:t xml:space="preserve">P005-b</x:t>
        </x:is>
      </x:c>
      <x:c r="B14" s="8" t="inlineStr">
        <x:is>
          <x:t xml:space="preserve">视频内容</x:t>
        </x:is>
      </x:c>
      <x:c r="C14" s="8" t="inlineStr">
        <x:is>
          <x:t xml:space="preserve">视频上传或替换</x:t>
        </x:is>
      </x:c>
      <x:c r="D14" s="8" t="inlineStr">
        <x:is>
          <x:t xml:space="preserve">已完成的视频文件、适用商品清单和发布要求。</x:t>
        </x:is>
      </x:c>
      <x:c r="E14" s="8" t="inlineStr">
        <x:is>
          <x:t xml:space="preserve">核对文件；上传或替换视频；填写标题；绑定本次约定ASIN；处理报错并核验。</x:t>
        </x:is>
      </x:c>
      <x:c r="F14" s="8" t="inlineStr">
        <x:is>
          <x:t xml:space="preserve">视频提交及应用状态可追溯，文件、标题和关联商品正确。</x:t>
        </x:is>
      </x:c>
      <x:c r="G14" s="8" t="inlineStr">
        <x:is>
          <x:t xml:space="preserve">独立视频文件；共用同一视频的商品合并记录。</x:t>
        </x:is>
      </x:c>
      <x:c r="H14" s="8" t="inlineStr">
        <x:is>
          <x:t xml:space="preserve">包含本次范围内的首次绑定；不含拍摄、剪辑、字幕原创。重复上传同一文件不算新交付。</x:t>
        </x:is>
      </x:c>
      <x:c r="I14" s="8" t="n"/>
      <x:c r="J14" s="8" t="n"/>
    </x:row>
    <x:row r="15" ht="85" customHeight="1">
      <x:c r="A15" s="4" t="inlineStr">
        <x:is>
          <x:t xml:space="preserve">P005-c/d</x:t>
        </x:is>
      </x:c>
      <x:c r="B15" s="4" t="inlineStr">
        <x:is>
          <x:t xml:space="preserve">视频内容</x:t>
        </x:is>
      </x:c>
      <x:c r="C15" s="4" t="inlineStr">
        <x:is>
          <x:t xml:space="preserve">已有视频新增ASIN</x:t>
        </x:is>
      </x:c>
      <x:c r="D15" s="4" t="inlineStr">
        <x:is>
          <x:t xml:space="preserve">已有视频编号及新增ASIN清单。</x:t>
        </x:is>
      </x:c>
      <x:c r="E15" s="4" t="inlineStr">
        <x:is>
          <x:t xml:space="preserve">确认视频适用性；添加商品关联；检查绑定和展示状态。</x:t>
        </x:is>
      </x:c>
      <x:c r="F15" s="4" t="inlineStr">
        <x:is>
          <x:t xml:space="preserve">本次新增ASIN绑定正确，记录视频及ASIN对应关系。</x:t>
        </x:is>
      </x:c>
      <x:c r="G15" s="4" t="inlineStr">
        <x:is>
          <x:t xml:space="preserve">同站点、同一视频的一批新增独立ASIN。</x:t>
        </x:is>
      </x:c>
      <x:c r="H15" s="4" t="inlineStr">
        <x:is>
          <x:t xml:space="preserve">同一ASIN对应多个SKU只作关联；原视频任务已要求绑定的商品不属于新增范围。</x:t>
        </x:is>
      </x:c>
      <x:c r="I15" s="4" t="n"/>
      <x:c r="J15" s="4" t="n"/>
    </x:row>
    <x:row r="16" ht="85" customHeight="1">
      <x:c r="A16" s="8" t="inlineStr">
        <x:is>
          <x:t xml:space="preserve">P006</x:t>
        </x:is>
      </x:c>
      <x:c r="B16" s="8" t="inlineStr">
        <x:is>
          <x:t xml:space="preserve">Listing内容</x:t>
        </x:is>
      </x:c>
      <x:c r="C16" s="8" t="inlineStr">
        <x:is>
          <x:t xml:space="preserve">事实字段纠错</x:t>
        </x:is>
      </x:c>
      <x:c r="D16" s="8" t="inlineStr">
        <x:is>
          <x:t xml:space="preserve">明确的问题或检查任务；当时确认的产品资料。</x:t>
        </x:is>
      </x:c>
      <x:c r="E16" s="8" t="inlineStr">
        <x:is>
          <x:t xml:space="preserve">检查标题、五点、描述、A+、主图和视频相关信息；核实正确值；修正字段；检查同类错误是否遗漏。</x:t>
        </x:is>
      </x:c>
      <x:c r="F16" s="8" t="inlineStr">
        <x:is>
          <x:t xml:space="preserve">保留错误位置、原值、新值、依据及核验结果；缺少的内容位置标记不适用。</x:t>
        </x:is>
      </x:c>
      <x:c r="G16" s="8" t="inlineStr">
        <x:is>
          <x:t xml:space="preserve">同一原因、同一修正方案的一批问题；列出去重站点和ASIN。</x:t>
        </x:is>
      </x:c>
      <x:c r="H16" s="8" t="inlineStr">
        <x:is>
          <x:t xml:space="preserve">本人原先操作或应核验疏漏造成的返工不另计。负责人后续变更参数需保留新旧版本。</x:t>
        </x:is>
      </x:c>
      <x:c r="I16" s="8" t="n"/>
      <x:c r="J16" s="8" t="n"/>
    </x:row>
    <x:row r="17" ht="85" customHeight="1">
      <x:c r="A17" s="4" t="inlineStr">
        <x:is>
          <x:t xml:space="preserve">P006-M</x:t>
        </x:is>
      </x:c>
      <x:c r="B17" s="4" t="inlineStr">
        <x:is>
          <x:t xml:space="preserve">Listing内容</x:t>
        </x:is>
      </x:c>
      <x:c r="C17" s="4" t="inlineStr">
        <x:is>
          <x:t xml:space="preserve">逐份内容的简单事实纠错</x:t>
        </x:is>
      </x:c>
      <x:c r="D17" s="4" t="inlineStr">
        <x:is>
          <x:t xml:space="preserve">已确认正确事实及待改A+、品牌故事或视频信息。</x:t>
        </x:is>
      </x:c>
      <x:c r="E17" s="4" t="inlineStr">
        <x:is>
          <x:t xml:space="preserve">定位错误文字或图片；替换已给定的正确内容；逐份保存并核验。</x:t>
        </x:is>
      </x:c>
      <x:c r="F17" s="4" t="inlineStr">
        <x:is>
          <x:t xml:space="preserve">各独立内容的错误修正完成，可追溯到内容编号和前后版本。</x:t>
        </x:is>
      </x:c>
      <x:c r="G17" s="4" t="inlineStr">
        <x:is>
          <x:t xml:space="preserve">同一问题批次内的独立内容；按内容类型、站点和编号区分。</x:t>
        </x:is>
      </x:c>
      <x:c r="H17" s="4" t="inlineStr">
        <x:is>
          <x:t xml:space="preserve">不按模块数或关联SKU数计内容份数。重新设计、重拍或原创改写需另界定，混合字段纠错不能重复算基础工作。</x:t>
        </x:is>
      </x:c>
      <x:c r="I17" s="4" t="n"/>
      <x:c r="J17" s="4" t="n"/>
    </x:row>
    <x:row r="18" ht="85" customHeight="1">
      <x:c r="A18" s="8" t="inlineStr">
        <x:is>
          <x:t xml:space="preserve">P007</x:t>
        </x:is>
      </x:c>
      <x:c r="B18" s="8" t="inlineStr">
        <x:is>
          <x:t xml:space="preserve">Listing内容</x:t>
        </x:is>
      </x:c>
      <x:c r="C18" s="8" t="inlineStr">
        <x:is>
          <x:t xml:space="preserve">标题独立编写或实质优化</x:t>
        </x:is>
      </x:c>
      <x:c r="D18" s="8" t="inlineStr">
        <x:is>
          <x:t xml:space="preserve">产品事实资料、现有标题及本次目标。</x:t>
        </x:is>
      </x:c>
      <x:c r="E18" s="8" t="inlineStr">
        <x:is>
          <x:t xml:space="preserve">理解产品和使用场景；提炼核心信息；研究合适的词；组织标题；核对参数与表达并定稿。</x:t>
        </x:is>
      </x:c>
      <x:c r="F18" s="8" t="inlineStr">
        <x:is>
          <x:t xml:space="preserve">提交准确可用的标题及必要的优化说明；任务包含更新时完成发布核验。</x:t>
        </x:is>
      </x:c>
      <x:c r="G18" s="8" t="inlineStr">
        <x:is>
          <x:t xml:space="preserve">一份独立标题；同轮修改合并。</x:t>
        </x:is>
      </x:c>
      <x:c r="H18" s="8" t="inlineStr">
        <x:is>
          <x:t xml:space="preserve">区分首次原创、实质优化、已有文字翻译、简单纠错。上传任务已包含的AI改写不能再算同一工作。</x:t>
        </x:is>
      </x:c>
      <x:c r="I18" s="8" t="n"/>
      <x:c r="J18" s="8" t="n"/>
    </x:row>
    <x:row r="19" ht="85" customHeight="1">
      <x:c r="A19" s="4" t="inlineStr">
        <x:is>
          <x:t xml:space="preserve">P008</x:t>
        </x:is>
      </x:c>
      <x:c r="B19" s="4" t="inlineStr">
        <x:is>
          <x:t xml:space="preserve">Listing内容</x:t>
        </x:is>
      </x:c>
      <x:c r="C19" s="4" t="inlineStr">
        <x:is>
          <x:t xml:space="preserve">五点独立编写或实质优化</x:t>
        </x:is>
      </x:c>
      <x:c r="D19" s="4" t="inlineStr">
        <x:is>
          <x:t xml:space="preserve">产品资料、已有五点及目标用户或问题。</x:t>
        </x:is>
      </x:c>
      <x:c r="E19" s="4" t="inlineStr">
        <x:is>
          <x:t xml:space="preserve">确定卖点及顺序；编写需要调整的要点；核对事实依据、适用条件和重复表述；修改定稿。</x:t>
        </x:is>
      </x:c>
      <x:c r="F19" s="4" t="inlineStr">
        <x:is>
          <x:t xml:space="preserve">交付一套可用五点及必要的修改说明。</x:t>
        </x:is>
      </x:c>
      <x:c r="G19" s="4" t="inlineStr">
        <x:is>
          <x:t xml:space="preserve">一个Listing的一套五点；不按改了几点拆分。</x:t>
        </x:is>
      </x:c>
      <x:c r="H19" s="4" t="inlineStr">
        <x:is>
          <x:t xml:space="preserve">改一点或多点均需说明实际工作；仅粘贴负责人给定内容不等于独立策划。</x:t>
        </x:is>
      </x:c>
      <x:c r="I19" s="4" t="n"/>
      <x:c r="J19" s="4" t="n"/>
    </x:row>
    <x:row r="20" ht="85" customHeight="1">
      <x:c r="A20" s="8" t="inlineStr">
        <x:is>
          <x:t xml:space="preserve">P009</x:t>
        </x:is>
      </x:c>
      <x:c r="B20" s="8" t="inlineStr">
        <x:is>
          <x:t xml:space="preserve">Listing内容</x:t>
        </x:is>
      </x:c>
      <x:c r="C20" s="8" t="inlineStr">
        <x:is>
          <x:t xml:space="preserve">描述独立编写或实质优化</x:t>
        </x:is>
      </x:c>
      <x:c r="D20" s="8" t="inlineStr">
        <x:is>
          <x:t xml:space="preserve">产品资料、现有描述及需解决的问题。</x:t>
        </x:is>
      </x:c>
      <x:c r="E20" s="8" t="inlineStr">
        <x:is>
          <x:t xml:space="preserve">整理用途、功能、规格和限制；构思描述结构；编写内容并核对事实。</x:t>
        </x:is>
      </x:c>
      <x:c r="F20" s="8" t="inlineStr">
        <x:is>
          <x:t xml:space="preserve">交付准确、完整且可发布的描述；约定发布的完成核验。</x:t>
        </x:is>
      </x:c>
      <x:c r="G20" s="8" t="inlineStr">
        <x:is>
          <x:t xml:space="preserve">一份独立描述的一轮工作。</x:t>
        </x:is>
      </x:c>
      <x:c r="H20" s="8" t="inlineStr">
        <x:is>
          <x:t xml:space="preserve">与直接翻译、指定内容更新、事实纠错分开；相同系列共用的内容需说明。</x:t>
        </x:is>
      </x:c>
      <x:c r="I20" s="8" t="n"/>
      <x:c r="J20" s="8" t="n"/>
    </x:row>
    <x:row r="21" ht="85" customHeight="1">
      <x:c r="A21" s="4" t="inlineStr">
        <x:is>
          <x:t xml:space="preserve">P010</x:t>
        </x:is>
      </x:c>
      <x:c r="B21" s="4" t="inlineStr">
        <x:is>
          <x:t xml:space="preserve">Listing内容</x:t>
        </x:is>
      </x:c>
      <x:c r="C21" s="4" t="inlineStr">
        <x:is>
          <x:t xml:space="preserve">Generic Keywords编写或优化</x:t>
        </x:is>
      </x:c>
      <x:c r="D21" s="4" t="inlineStr">
        <x:is>
          <x:t xml:space="preserve">产品资料、原关键词及可用搜索词数据。</x:t>
        </x:is>
      </x:c>
      <x:c r="E21" s="4" t="inlineStr">
        <x:is>
          <x:t xml:space="preserve">筛选相关搜索词；去重；排除不相关表达；组织并检查可用性；更新核验。</x:t>
        </x:is>
      </x:c>
      <x:c r="F21" s="4" t="inlineStr">
        <x:is>
          <x:t xml:space="preserve">提交最终关键词内容及主要选词依据。</x:t>
        </x:is>
      </x:c>
      <x:c r="G21" s="4" t="inlineStr">
        <x:is>
          <x:t xml:space="preserve">一套独立关键词内容的一轮工作。</x:t>
        </x:is>
      </x:c>
      <x:c r="H21" s="4" t="inlineStr">
        <x:is>
          <x:t xml:space="preserve">AI可辅助，但员工要判断相关性。仅执行负责人给定的关键词清单属于执行工作。</x:t>
        </x:is>
      </x:c>
      <x:c r="I21" s="4" t="n"/>
      <x:c r="J21" s="4" t="n"/>
    </x:row>
    <x:row r="22" ht="85" customHeight="1">
      <x:c r="A22" s="8" t="inlineStr">
        <x:is>
          <x:t xml:space="preserve">P011-b</x:t>
        </x:is>
      </x:c>
      <x:c r="B22" s="8" t="inlineStr">
        <x:is>
          <x:t xml:space="preserve">A+内容</x:t>
        </x:is>
      </x:c>
      <x:c r="C22" s="8" t="inlineStr">
        <x:is>
          <x:t xml:space="preserve">独立A+整体策划</x:t>
        </x:is>
      </x:c>
      <x:c r="D22" s="8" t="inlineStr">
        <x:is>
          <x:t xml:space="preserve">产品事实资料、目标用户、卖点依据和已有参考。</x:t>
        </x:is>
      </x:c>
      <x:c r="E22" s="8" t="inlineStr">
        <x:is>
          <x:t xml:space="preserve">理解产品；设计页面信息顺序和模块用途；构思图片；编写文案及美工需求；跟进方案修改。</x:t>
        </x:is>
      </x:c>
      <x:c r="F22" s="8" t="inlineStr">
        <x:is>
          <x:t xml:space="preserve">一份经确认的完整A+方案，明确各部分文字、图片要求和表达依据。</x:t>
        </x:is>
      </x:c>
      <x:c r="G22" s="8" t="inlineStr">
        <x:is>
          <x:t xml:space="preserve">一份新增独立方案；系列共用方案只记录一次。</x:t>
        </x:is>
      </x:c>
      <x:c r="H22" s="8" t="inlineStr">
        <x:is>
          <x:t xml:space="preserve">复用通用品牌模块不代表重新策划；需要说明哪些产品内容确实重新构思。主辅图策划与A+策划有重合时不能重复算。</x:t>
        </x:is>
      </x:c>
      <x:c r="I22" s="8" t="n"/>
      <x:c r="J22" s="8" t="n"/>
    </x:row>
    <x:row r="23" ht="85" customHeight="1">
      <x:c r="A23" s="4" t="inlineStr">
        <x:is>
          <x:t xml:space="preserve">P011-a</x:t>
        </x:is>
      </x:c>
      <x:c r="B23" s="4" t="inlineStr">
        <x:is>
          <x:t xml:space="preserve">A+内容</x:t>
        </x:is>
      </x:c>
      <x:c r="C23" s="4" t="inlineStr">
        <x:is>
          <x:t xml:space="preserve">A+复用模板制作与发布</x:t>
        </x:is>
      </x:c>
      <x:c r="D23" s="4" t="inlineStr">
        <x:is>
          <x:t xml:space="preserve">已确定的A+方案或模板、产品资料及可用素材。</x:t>
        </x:is>
      </x:c>
      <x:c r="E23" s="4" t="inlineStr">
        <x:is>
          <x:t xml:space="preserve">根据产品适配文字和图片；协调取得缺少素材；在后台制作页面；提交审核；绑定约定商品并核验。</x:t>
        </x:is>
      </x:c>
      <x:c r="F23" s="4" t="inlineStr">
        <x:is>
          <x:t xml:space="preserve">实际独立A+内容完成，素材、参数、页面及商品绑定正确。</x:t>
        </x:is>
      </x:c>
      <x:c r="G23" s="4" t="inlineStr">
        <x:is>
          <x:t xml:space="preserve">一份实际独立A+内容；共用内容的SKU列在同一份下。</x:t>
        </x:is>
      </x:c>
      <x:c r="H23" s="4" t="inlineStr">
        <x:is>
          <x:t xml:space="preserve">只替换少量参数或图片可属于局部修改；原方案直接复用不再算一次整体策划。初始绑定及报错修正包含在本项。</x:t>
        </x:is>
      </x:c>
      <x:c r="I23" s="4" t="n"/>
      <x:c r="J23" s="4" t="n"/>
    </x:row>
    <x:row r="24" ht="85" customHeight="1">
      <x:c r="A24" s="8" t="inlineStr">
        <x:is>
          <x:t xml:space="preserve">P012</x:t>
        </x:is>
      </x:c>
      <x:c r="B24" s="8" t="inlineStr">
        <x:is>
          <x:t xml:space="preserve">A+内容</x:t>
        </x:is>
      </x:c>
      <x:c r="C24" s="8" t="inlineStr">
        <x:is>
          <x:t xml:space="preserve">A+局部增删修改</x:t>
        </x:is>
      </x:c>
      <x:c r="D24" s="8" t="inlineStr">
        <x:is>
          <x:t xml:space="preserve">原A+、本轮修改目的及需要增删的信息。</x:t>
        </x:is>
      </x:c>
      <x:c r="E24" s="8" t="inlineStr">
        <x:is>
          <x:t xml:space="preserve">在原版本上增加、删除或修改信息、图片等；检查页面连贯性；提交并核验。</x:t>
        </x:is>
      </x:c>
      <x:c r="F24" s="8" t="inlineStr">
        <x:is>
          <x:t xml:space="preserve">本轮要求完成，保留修改前后版本和内容编号。</x:t>
        </x:is>
      </x:c>
      <x:c r="G24" s="8" t="inlineStr">
        <x:is>
          <x:t xml:space="preserve">同一份A+的一轮修改。</x:t>
        </x:is>
      </x:c>
      <x:c r="H24" s="8" t="inlineStr">
        <x:is>
          <x:t xml:space="preserve">不按模块数量累加；事实纠错走纠错工作。确需整体重做时重新确认范围，不能同时算局部修改和整体制作。</x:t>
        </x:is>
      </x:c>
      <x:c r="I24" s="8" t="n"/>
      <x:c r="J24" s="8" t="n"/>
    </x:row>
    <x:row r="25" ht="85" customHeight="1">
      <x:c r="A25" s="4" t="inlineStr">
        <x:is>
          <x:t xml:space="preserve">P013-a</x:t>
        </x:is>
      </x:c>
      <x:c r="B25" s="4" t="inlineStr">
        <x:is>
          <x:t xml:space="preserve">变体关系</x:t>
        </x:is>
      </x:c>
      <x:c r="C25" s="4" t="inlineStr">
        <x:is>
          <x:t xml:space="preserve">变体选项名称或属性值调整</x:t>
        </x:is>
      </x:c>
      <x:c r="D25" s="4" t="inlineStr">
        <x:is>
          <x:t xml:space="preserve">目标商品、现有变体关系及正确名称或属性。</x:t>
        </x:is>
      </x:c>
      <x:c r="E25" s="4" t="inlineStr">
        <x:is>
          <x:t xml:space="preserve">核对影响范围；更新尺寸、颜色等选项名称或属性值；检查页面和关系。</x:t>
        </x:is>
      </x:c>
      <x:c r="F25" s="4" t="inlineStr">
        <x:is>
          <x:t xml:space="preserve">选项显示准确，原有父子关系没有被错误破坏。</x:t>
        </x:is>
      </x:c>
      <x:c r="G25" s="4" t="inlineStr">
        <x:is>
          <x:t xml:space="preserve">同站点的一项独立变体处理方案。</x:t>
        </x:is>
      </x:c>
      <x:c r="H25" s="4" t="inlineStr">
        <x:is>
          <x:t xml:space="preserve">仅改名称和数值；若需要解绑或重建关系，说明实际升级的工作范围。</x:t>
        </x:is>
      </x:c>
      <x:c r="I25" s="4" t="n"/>
      <x:c r="J25" s="4" t="n"/>
    </x:row>
    <x:row r="26" ht="85" customHeight="1">
      <x:c r="A26" s="8" t="inlineStr">
        <x:is>
          <x:t xml:space="preserve">P013-b</x:t>
        </x:is>
      </x:c>
      <x:c r="B26" s="8" t="inlineStr">
        <x:is>
          <x:t xml:space="preserve">变体关系</x:t>
        </x:is>
      </x:c>
      <x:c r="C26" s="8" t="inlineStr">
        <x:is>
          <x:t xml:space="preserve">已上架商品加入已有变体</x:t>
        </x:is>
      </x:c>
      <x:c r="D26" s="8" t="inlineStr">
        <x:is>
          <x:t xml:space="preserve">待加入SKU、目标父体和已有属性资料。</x:t>
        </x:is>
      </x:c>
      <x:c r="E26" s="8" t="inlineStr">
        <x:is>
          <x:t xml:space="preserve">核对兼容性及属性；设置加入关系；上传或后台操作；核验目标关系。</x:t>
        </x:is>
      </x:c>
      <x:c r="F26" s="8" t="inlineStr">
        <x:is>
          <x:t xml:space="preserve">商品加入正确的父体，变体选项和页面显示正确。</x:t>
        </x:is>
      </x:c>
      <x:c r="G26" s="8" t="inlineStr">
        <x:is>
          <x:t xml:space="preserve">一项独立变体处理方案。</x:t>
        </x:is>
      </x:c>
      <x:c r="H26" s="8" t="inlineStr">
        <x:is>
          <x:t xml:space="preserve">区分方案已明确与需要排查冲突。新品上架已经包含的加入关系不再重复列项。</x:t>
        </x:is>
      </x:c>
      <x:c r="I26" s="8" t="n"/>
      <x:c r="J26" s="8" t="n"/>
    </x:row>
    <x:row r="27" ht="85" customHeight="1">
      <x:c r="A27" s="4" t="inlineStr">
        <x:is>
          <x:t xml:space="preserve">P013-c</x:t>
        </x:is>
      </x:c>
      <x:c r="B27" s="4" t="inlineStr">
        <x:is>
          <x:t xml:space="preserve">变体关系</x:t>
        </x:is>
      </x:c>
      <x:c r="C27" s="4" t="inlineStr">
        <x:is>
          <x:t xml:space="preserve">新建变体或拆分重组</x:t>
        </x:is>
      </x:c>
      <x:c r="D27" s="4" t="inlineStr">
        <x:is>
          <x:t xml:space="preserve">商品清单、现有父体和重组目标。</x:t>
        </x:is>
      </x:c>
      <x:c r="E27" s="4" t="inlineStr">
        <x:is>
          <x:t xml:space="preserve">排查现有关系；确定保留、拆分和迁移范围；解绑或新建父体；重新组合并逐项核验。</x:t>
        </x:is>
      </x:c>
      <x:c r="F27" s="4" t="inlineStr">
        <x:is>
          <x:t xml:space="preserve">约定商品形成正确关系；遗留异常和处理结果清楚。</x:t>
        </x:is>
      </x:c>
      <x:c r="G27" s="4" t="inlineStr">
        <x:is>
          <x:t xml:space="preserve">一项完整关系重组方案，列明涉及父体。</x:t>
        </x:is>
      </x:c>
      <x:c r="H27" s="4" t="inlineStr">
        <x:is>
          <x:t xml:space="preserve">重点记录是否需要自己排查、多父体迁移或Case跟进。同一关系问题的连续尝试属于一个方案。</x:t>
        </x:is>
      </x:c>
      <x:c r="I27" s="4" t="n"/>
      <x:c r="J27" s="4" t="n"/>
    </x:row>
    <x:row r="28" ht="85" customHeight="1">
      <x:c r="A28" s="8" t="inlineStr">
        <x:is>
          <x:t xml:space="preserve">P014-a</x:t>
        </x:is>
      </x:c>
      <x:c r="B28" s="8" t="inlineStr">
        <x:is>
          <x:t xml:space="preserve">图片维护</x:t>
        </x:is>
      </x:c>
      <x:c r="C28" s="8" t="inlineStr">
        <x:is>
          <x:t xml:space="preserve">后续图片更新：已有图片</x:t>
        </x:is>
      </x:c>
      <x:c r="D28" s="8" t="inlineStr">
        <x:is>
          <x:t xml:space="preserve">原图片已经验收；现在有新的可用图片和明确更新需求。</x:t>
        </x:is>
      </x:c>
      <x:c r="E28" s="8" t="inlineStr">
        <x:is>
          <x:t xml:space="preserve">核对新图片和SKU；替换、增删或调整顺序；检查更新结果。</x:t>
        </x:is>
      </x:c>
      <x:c r="F28" s="8" t="inlineStr">
        <x:is>
          <x:t xml:space="preserve">本次新增维护范围已完成，图片正确显示。</x:t>
        </x:is>
      </x:c>
      <x:c r="G28" s="8" t="inlineStr">
        <x:is>
          <x:t xml:space="preserve">SKU，列明实际操作站点和本轮范围。</x:t>
        </x:is>
      </x:c>
      <x:c r="H28" s="8" t="inlineStr">
        <x:is>
          <x:t xml:space="preserve">原任务漏传或本人传错属于返工；事实错误的修正归纠错。</x:t>
        </x:is>
      </x:c>
      <x:c r="I28" s="8" t="n"/>
      <x:c r="J28" s="8" t="n"/>
    </x:row>
    <x:row r="29" ht="85" customHeight="1">
      <x:c r="A29" s="4" t="inlineStr">
        <x:is>
          <x:t xml:space="preserve">P014-b</x:t>
        </x:is>
      </x:c>
      <x:c r="B29" s="4" t="inlineStr">
        <x:is>
          <x:t xml:space="preserve">图片维护</x:t>
        </x:is>
      </x:c>
      <x:c r="C29" s="4" t="inlineStr">
        <x:is>
          <x:t xml:space="preserve">后续图片更新：需要协调取图</x:t>
        </x:is>
      </x:c>
      <x:c r="D29" s="4" t="inlineStr">
        <x:is>
          <x:t xml:space="preserve">明确后续更新需求，但图片缺失或版本不明。</x:t>
        </x:is>
      </x:c>
      <x:c r="E29" s="4" t="inlineStr">
        <x:is>
          <x:t xml:space="preserve">向产品负责人确认图片版本和要求；跟进取得素材；上传更新并核验。</x:t>
        </x:is>
      </x:c>
      <x:c r="F29" s="4" t="inlineStr">
        <x:is>
          <x:t xml:space="preserve">取得正确图片并完成独立维护范围。</x:t>
        </x:is>
      </x:c>
      <x:c r="G29" s="4" t="inlineStr">
        <x:is>
          <x:t xml:space="preserve">SKU，并注明共用的沟通安排。</x:t>
        </x:is>
      </x:c>
      <x:c r="H29" s="4" t="inlineStr">
        <x:is>
          <x:t xml:space="preserve">等待天数不等于工作量；新安排样品及拍摄的独立工作另列，避免重复计算协调部分。</x:t>
        </x:is>
      </x:c>
      <x:c r="I29" s="4" t="n"/>
      <x:c r="J29" s="4" t="n"/>
    </x:row>
    <x:row r="30" ht="85" customHeight="1">
      <x:c r="A30" s="8" t="inlineStr">
        <x:is>
          <x:t xml:space="preserve">P015</x:t>
        </x:is>
      </x:c>
      <x:c r="B30" s="8" t="inlineStr">
        <x:is>
          <x:t xml:space="preserve">价格管理</x:t>
        </x:is>
      </x:c>
      <x:c r="C30" s="8" t="inlineStr">
        <x:is>
          <x:t xml:space="preserve">按指定目标调整价格</x:t>
        </x:is>
      </x:c>
      <x:c r="D30" s="8" t="inlineStr">
        <x:is>
          <x:t xml:space="preserve">负责人给出SKU、站点及目标售价或折扣。</x:t>
        </x:is>
      </x:c>
      <x:c r="E30" s="8" t="inlineStr">
        <x:is>
          <x:t xml:space="preserve">核对清单；整理并批量上传价格，必要时手动调整；处理报错并核验实际价格。</x:t>
        </x:is>
      </x:c>
      <x:c r="F30" s="8" t="inlineStr">
        <x:is>
          <x:t xml:space="preserve">约定商品价格正确生效，异常项及处理结果有记录。</x:t>
        </x:is>
      </x:c>
      <x:c r="G30" s="8" t="inlineStr">
        <x:is>
          <x:t xml:space="preserve">同一次业务安排的一批改价。</x:t>
        </x:is>
      </x:c>
      <x:c r="H30" s="8" t="inlineStr">
        <x:is>
          <x:t xml:space="preserve">不要求员工自行制定价格策略；不同目标价格、拆文件或重试不自然形成新任务。</x:t>
        </x:is>
      </x:c>
      <x:c r="I30" s="8" t="n"/>
      <x:c r="J30" s="8" t="n"/>
    </x:row>
    <x:row r="31" ht="85" customHeight="1">
      <x:c r="A31" s="4" t="inlineStr">
        <x:is>
          <x:t xml:space="preserve">P016</x:t>
        </x:is>
      </x:c>
      <x:c r="B31" s="4" t="inlineStr">
        <x:is>
          <x:t xml:space="preserve">价格管理</x:t>
        </x:is>
      </x:c>
      <x:c r="C31" s="4" t="inlineStr">
        <x:is>
          <x:t xml:space="preserve">Buy Box异常处理</x:t>
        </x:is>
      </x:c>
      <x:c r="D31" s="4" t="inlineStr">
        <x:is>
          <x:t xml:space="preserve">异常ASIN、站点及可用价格和报价资料。</x:t>
        </x:is>
      </x:c>
      <x:c r="E31" s="4" t="inlineStr">
        <x:is>
          <x:t xml:space="preserve">核查异常；按需要核对外部售价和运费、保留截图；执行措施或开Case；跟进并检查Buy Box状态。</x:t>
        </x:is>
      </x:c>
      <x:c r="F31" s="4" t="inlineStr">
        <x:is>
          <x:t xml:space="preserve">每个ASIN有前后状态、处理依据及结果；未恢复时有完整处理记录和负责人确认的阶段结论。</x:t>
        </x:is>
      </x:c>
      <x:c r="G31" s="4" t="inlineStr">
        <x:is>
          <x:t xml:space="preserve">同站点、同一ASIN的一项独立异常。</x:t>
        </x:is>
      </x:c>
      <x:c r="H31" s="4" t="inlineStr">
        <x:is>
          <x:t xml:space="preserve">同ASIN多个SKU不重复；多次Case或反复回复仍属同一问题。只是执行给定价格的调整需与独立异常调查区分。</x:t>
        </x:is>
      </x:c>
      <x:c r="I31" s="4" t="n"/>
      <x:c r="J31" s="4" t="n"/>
    </x:row>
    <x:row r="32" ht="85" customHeight="1">
      <x:c r="A32" s="8" t="inlineStr">
        <x:is>
          <x:t xml:space="preserve">P018</x:t>
        </x:is>
      </x:c>
      <x:c r="B32" s="8" t="inlineStr">
        <x:is>
          <x:t xml:space="preserve">促销活动</x:t>
        </x:is>
      </x:c>
      <x:c r="C32" s="8" t="inlineStr">
        <x:is>
          <x:t xml:space="preserve">Coupon与Promotion创建</x:t>
        </x:is>
      </x:c>
      <x:c r="D32" s="8" t="inlineStr">
        <x:is>
          <x:t xml:space="preserve">活动商品、优惠方案、时间及预算等要求已明确。</x:t>
        </x:is>
      </x:c>
      <x:c r="E32" s="8" t="inlineStr">
        <x:is>
          <x:t xml:space="preserve">填写活动设置；核对商品、优惠和时间；提交；处理常规报错；检查活动状态。</x:t>
        </x:is>
      </x:c>
      <x:c r="F32" s="8" t="inlineStr">
        <x:is>
          <x:t xml:space="preserve">活动设置符合安排，提交或生效状态及异常项可核查。</x:t>
        </x:is>
      </x:c>
      <x:c r="G32" s="8" t="inlineStr">
        <x:is>
          <x:t xml:space="preserve">一个实际独立的Coupon或Promotion。</x:t>
        </x:is>
      </x:c>
      <x:c r="H32" s="8" t="inlineStr">
        <x:is>
          <x:t xml:space="preserve">多个商品共用一个活动不按SKU拆分；要求外另做活动方案分析时说明独立交付。</x:t>
        </x:is>
      </x:c>
      <x:c r="I32" s="8" t="n"/>
      <x:c r="J32" s="8" t="n"/>
    </x:row>
    <x:row r="33" ht="85" customHeight="1">
      <x:c r="A33" s="4" t="inlineStr">
        <x:is>
          <x:t xml:space="preserve">P019</x:t>
        </x:is>
      </x:c>
      <x:c r="B33" s="4" t="inlineStr">
        <x:is>
          <x:t xml:space="preserve">促销活动</x:t>
        </x:is>
      </x:c>
      <x:c r="C33" s="4" t="inlineStr">
        <x:is>
          <x:t xml:space="preserve">Deal活动提报</x:t>
        </x:is>
      </x:c>
      <x:c r="D33" s="4" t="inlineStr">
        <x:is>
          <x:t xml:space="preserve">拟参加商品及负责人确认的提报条件。</x:t>
        </x:is>
      </x:c>
      <x:c r="E33" s="4" t="inlineStr">
        <x:is>
          <x:t xml:space="preserve">核对提报资格和参数；填写并提交Deal；记录提交和审核状态，处理普通反馈。</x:t>
        </x:is>
      </x:c>
      <x:c r="F33" s="4" t="inlineStr">
        <x:is>
          <x:t xml:space="preserve">提报完成且资料正确；审批结果单独记录。</x:t>
        </x:is>
      </x:c>
      <x:c r="G33" s="4" t="inlineStr">
        <x:is>
          <x:t xml:space="preserve">一个实际独立提报的Deal。</x:t>
        </x:is>
      </x:c>
      <x:c r="H33" s="4" t="inlineStr">
        <x:is>
          <x:t xml:space="preserve">平台未批准不等于员工没完成提报；本次提报中的反复修正不另算新任务。</x:t>
        </x:is>
      </x:c>
      <x:c r="I33" s="4" t="n"/>
      <x:c r="J33" s="4" t="n"/>
    </x:row>
    <x:row r="34" ht="85" customHeight="1">
      <x:c r="A34" s="8" t="inlineStr">
        <x:is>
          <x:t xml:space="preserve">P020</x:t>
        </x:is>
      </x:c>
      <x:c r="B34" s="8" t="inlineStr">
        <x:is>
          <x:t xml:space="preserve">广告新建</x:t>
        </x:is>
      </x:c>
      <x:c r="C34" s="8" t="inlineStr">
        <x:is>
          <x:t xml:space="preserve">SP Campaign创建</x:t>
        </x:is>
      </x:c>
      <x:c r="D34" s="8" t="inlineStr">
        <x:is>
          <x:t xml:space="preserve">明确的商品、创建目的、预算和可用投放要求。</x:t>
        </x:is>
      </x:c>
      <x:c r="E34" s="8" t="inlineStr">
        <x:is>
          <x:t xml:space="preserve">完成Campaign、广告组、商品、目标、预算和竞价等初始配置；核验；关联任务与Ads Change并填写原因。</x:t>
        </x:is>
      </x:c>
      <x:c r="F34" s="8" t="inlineStr">
        <x:is>
          <x:t xml:space="preserve">独立Campaign创建正确，配置及状态已检查，变化记录可追溯。</x:t>
        </x:is>
      </x:c>
      <x:c r="G34" s="8" t="inlineStr">
        <x:is>
          <x:t xml:space="preserve">实际独立Campaign。</x:t>
        </x:is>
      </x:c>
      <x:c r="H34" s="8" t="inlineStr">
        <x:is>
          <x:t xml:space="preserve">标明投放方案已给定还是员工需要分析；初始配置和一般报错属于创建范围，不按广告组或目标数量拆任务。</x:t>
        </x:is>
      </x:c>
      <x:c r="I34" s="8" t="n"/>
      <x:c r="J34" s="8" t="n"/>
    </x:row>
    <x:row r="35" ht="85" customHeight="1">
      <x:c r="A35" s="4" t="inlineStr">
        <x:is>
          <x:t xml:space="preserve">P021</x:t>
        </x:is>
      </x:c>
      <x:c r="B35" s="4" t="inlineStr">
        <x:is>
          <x:t xml:space="preserve">广告新建</x:t>
        </x:is>
      </x:c>
      <x:c r="C35" s="4" t="inlineStr">
        <x:is>
          <x:t xml:space="preserve">SB Campaign创建</x:t>
        </x:is>
      </x:c>
      <x:c r="D35" s="4" t="inlineStr">
        <x:is>
          <x:t xml:space="preserve">品牌、商品、已有素材和落地页等资料。</x:t>
        </x:is>
      </x:c>
      <x:c r="E35" s="4" t="inlineStr">
        <x:is>
          <x:t xml:space="preserve">按确认方案配置SB活动及素材、商品和落地页；提交审核；核验并关联Ads Change。</x:t>
        </x:is>
      </x:c>
      <x:c r="F35" s="4" t="inlineStr">
        <x:is>
          <x:t xml:space="preserve">活动配置准确，审核或投放状态清楚。</x:t>
        </x:is>
      </x:c>
      <x:c r="G35" s="4" t="inlineStr">
        <x:is>
          <x:t xml:space="preserve">实际独立Campaign。</x:t>
        </x:is>
      </x:c>
      <x:c r="H35" s="4" t="inlineStr">
        <x:is>
          <x:t xml:space="preserve">素材已提供与需独立策划素材应区分；普通素材配置及审核修正包含在创建中。</x:t>
        </x:is>
      </x:c>
      <x:c r="I35" s="4" t="n"/>
      <x:c r="J35" s="4" t="n"/>
    </x:row>
    <x:row r="36" ht="85" customHeight="1">
      <x:c r="A36" s="8" t="inlineStr">
        <x:is>
          <x:t xml:space="preserve">P022</x:t>
        </x:is>
      </x:c>
      <x:c r="B36" s="8" t="inlineStr">
        <x:is>
          <x:t xml:space="preserve">广告新建</x:t>
        </x:is>
      </x:c>
      <x:c r="C36" s="8" t="inlineStr">
        <x:is>
          <x:t xml:space="preserve">SBV Campaign创建</x:t>
        </x:is>
      </x:c>
      <x:c r="D36" s="8" t="inlineStr">
        <x:is>
          <x:t xml:space="preserve">已有视频、目标商品和活动要求。</x:t>
        </x:is>
      </x:c>
      <x:c r="E36" s="8" t="inlineStr">
        <x:is>
          <x:t xml:space="preserve">核对视频及落地页；创建视频活动；配置投放；提交审核并核验，登记变化原因。</x:t>
        </x:is>
      </x:c>
      <x:c r="F36" s="8" t="inlineStr">
        <x:is>
          <x:t xml:space="preserve">视频、商品和投放设置对应正确，状态可追溯。</x:t>
        </x:is>
      </x:c>
      <x:c r="G36" s="8" t="inlineStr">
        <x:is>
          <x:t xml:space="preserve">实际独立Campaign。</x:t>
        </x:is>
      </x:c>
      <x:c r="H36" s="8" t="inlineStr">
        <x:is>
          <x:t xml:space="preserve">不同时归入SB和SBV重复算；视频拍摄、剪辑、原创字幕另看是否有独立交付。</x:t>
        </x:is>
      </x:c>
      <x:c r="I36" s="8" t="n"/>
      <x:c r="J36" s="8" t="n"/>
    </x:row>
    <x:row r="37" ht="85" customHeight="1">
      <x:c r="A37" s="4" t="inlineStr">
        <x:is>
          <x:t xml:space="preserve">P023</x:t>
        </x:is>
      </x:c>
      <x:c r="B37" s="4" t="inlineStr">
        <x:is>
          <x:t xml:space="preserve">广告新建</x:t>
        </x:is>
      </x:c>
      <x:c r="C37" s="4" t="inlineStr">
        <x:is>
          <x:t xml:space="preserve">SD Campaign创建</x:t>
        </x:is>
      </x:c>
      <x:c r="D37" s="4" t="inlineStr">
        <x:is>
          <x:t xml:space="preserve">商品、投放目的、可用素材及设置要求。</x:t>
        </x:is>
      </x:c>
      <x:c r="E37" s="4" t="inlineStr">
        <x:is>
          <x:t xml:space="preserve">按确认方案创建活动，配置商品、投放、素材和预算等；提交并核验，登记变化。</x:t>
        </x:is>
      </x:c>
      <x:c r="F37" s="4" t="inlineStr">
        <x:is>
          <x:t xml:space="preserve">独立Campaign设置正确，提交或投放状态清楚。</x:t>
        </x:is>
      </x:c>
      <x:c r="G37" s="4" t="inlineStr">
        <x:is>
          <x:t xml:space="preserve">实际独立Campaign。</x:t>
        </x:is>
      </x:c>
      <x:c r="H37" s="4" t="inlineStr">
        <x:is>
          <x:t xml:space="preserve">标明是否需额外判断受众和素材；创建中的初始配置只包含一次。</x:t>
        </x:is>
      </x:c>
      <x:c r="I37" s="4" t="n"/>
      <x:c r="J37" s="4" t="n"/>
    </x:row>
    <x:row r="38" ht="85" customHeight="1">
      <x:c r="A38" s="8" t="inlineStr">
        <x:is>
          <x:t xml:space="preserve">P024</x:t>
        </x:is>
      </x:c>
      <x:c r="B38" s="8" t="inlineStr">
        <x:is>
          <x:t xml:space="preserve">广告调整</x:t>
        </x:is>
      </x:c>
      <x:c r="C38" s="8" t="inlineStr">
        <x:is>
          <x:t xml:space="preserve">已有Campaign的有效调整</x:t>
        </x:is>
      </x:c>
      <x:c r="D38" s="8" t="inlineStr">
        <x:is>
          <x:t xml:space="preserve">负责人给定方案，或员工有明确的问题依据。</x:t>
        </x:is>
      </x:c>
      <x:c r="E38" s="8" t="inlineStr">
        <x:is>
          <x:t xml:space="preserve">核对对象；执行关键词、否定词或ASIN、商品、Bid、位置等所需调整；认领Ads Change；记录原因并复查。</x:t>
        </x:is>
      </x:c>
      <x:c r="F38" s="8" t="inlineStr">
        <x:is>
          <x:t xml:space="preserve">每次调整有Campaign、依据、实际动作及核验记录。</x:t>
        </x:is>
      </x:c>
      <x:c r="G38" s="8" t="inlineStr">
        <x:is>
          <x:t xml:space="preserve">同账户、站点、Campaign的一次完整有效调整。</x:t>
        </x:is>
      </x:c>
      <x:c r="H38" s="8" t="inlineStr">
        <x:is>
          <x:t xml:space="preserve">一次包含多种动作合并；区分照方案执行和自行分析。再次调整需有新依据，保留每Campaign每周最多两次的原规则待整体复核。</x:t>
        </x:is>
      </x:c>
      <x:c r="I38" s="8" t="n"/>
      <x:c r="J38" s="8" t="n"/>
    </x:row>
    <x:row r="39" ht="85" customHeight="1">
      <x:c r="A39" s="4" t="inlineStr">
        <x:is>
          <x:t xml:space="preserve">P025</x:t>
        </x:is>
      </x:c>
      <x:c r="B39" s="4" t="inlineStr">
        <x:is>
          <x:t xml:space="preserve">Listing异常</x:t>
        </x:is>
      </x:c>
      <x:c r="C39" s="4" t="inlineStr">
        <x:is>
          <x:t xml:space="preserve">Listing异常申诉或Case处理</x:t>
        </x:is>
      </x:c>
      <x:c r="D39" s="4" t="inlineStr">
        <x:is>
          <x:t xml:space="preserve">异常ASIN、平台提示及相关产品资料。</x:t>
        </x:is>
      </x:c>
      <x:c r="E39" s="4" t="inlineStr">
        <x:is>
          <x:t xml:space="preserve">核实异常原因；整理证据或材料；提交Appeal/Case；回复反馈并逐ASIN核验。</x:t>
        </x:is>
      </x:c>
      <x:c r="F39" s="4" t="inlineStr">
        <x:is>
          <x:t xml:space="preserve">恢复结果可核查；未恢复时材料及处理过程完整，并取得阶段结案确认。</x:t>
        </x:is>
      </x:c>
      <x:c r="G39" s="4" t="inlineStr">
        <x:is>
          <x:t xml:space="preserve">同站点、同一ASIN的一项独立异常。</x:t>
        </x:is>
      </x:c>
      <x:c r="H39" s="4" t="inlineStr">
        <x:is>
          <x:t xml:space="preserve">区分Listing自身问题与变体、Buy Box、库存专属问题；同一原因反复Case不成为新任务。</x:t>
        </x:is>
      </x:c>
      <x:c r="I39" s="4" t="n"/>
      <x:c r="J39" s="4" t="n"/>
    </x:row>
    <x:row r="40" ht="85" customHeight="1">
      <x:c r="A40" s="8" t="inlineStr">
        <x:is>
          <x:t xml:space="preserve">P026</x:t>
        </x:is>
      </x:c>
      <x:c r="B40" s="8" t="inlineStr">
        <x:is>
          <x:t xml:space="preserve">Brand Store</x:t>
        </x:is>
      </x:c>
      <x:c r="C40" s="8" t="inlineStr">
        <x:is>
          <x:t xml:space="preserve">二级类目商品维护</x:t>
        </x:is>
      </x:c>
      <x:c r="D40" s="8" t="inlineStr">
        <x:is>
          <x:t xml:space="preserve">类目路径及需要增删、替换的商品清单。</x:t>
        </x:is>
      </x:c>
      <x:c r="E40" s="8" t="inlineStr">
        <x:is>
          <x:t xml:space="preserve">在现有页面和模块中维护商品；检查链接、展示及商品对应；提交并核验。</x:t>
        </x:is>
      </x:c>
      <x:c r="F40" s="8" t="inlineStr">
        <x:is>
          <x:t xml:space="preserve">指定二级类目的商品清单和展示正确。</x:t>
        </x:is>
      </x:c>
      <x:c r="G40" s="8" t="inlineStr">
        <x:is>
          <x:t xml:space="preserve">一个二级类目的一次更新需求。</x:t>
        </x:is>
      </x:c>
      <x:c r="H40" s="8" t="inlineStr">
        <x:is>
          <x:t xml:space="preserve">例如某阀门尺寸类目；不按SKU数拆分。必须新增或重建模块时转对应场景。</x:t>
        </x:is>
      </x:c>
      <x:c r="I40" s="8" t="n"/>
      <x:c r="J40" s="8" t="n"/>
    </x:row>
    <x:row r="41" ht="85" customHeight="1">
      <x:c r="A41" s="4" t="inlineStr">
        <x:is>
          <x:t xml:space="preserve">P027</x:t>
        </x:is>
      </x:c>
      <x:c r="B41" s="4" t="inlineStr">
        <x:is>
          <x:t xml:space="preserve">Brand Store</x:t>
        </x:is>
      </x:c>
      <x:c r="C41" s="4" t="inlineStr">
        <x:is>
          <x:t xml:space="preserve">二级类目模块新增或重建</x:t>
        </x:is>
      </x:c>
      <x:c r="D41" s="4" t="inlineStr">
        <x:is>
          <x:t xml:space="preserve">二级类目更新目标、商品和可用素材。</x:t>
        </x:is>
      </x:c>
      <x:c r="E41" s="4" t="inlineStr">
        <x:is>
          <x:t xml:space="preserve">判断原模块为何不能直接用；新增、替换或重建模块；安排布局及商品；提交并检查。</x:t>
        </x:is>
      </x:c>
      <x:c r="F41" s="4" t="inlineStr">
        <x:is>
          <x:t xml:space="preserve">目标类目展示符合要求，布局、商品及链接正确，保留前后对照。</x:t>
        </x:is>
      </x:c>
      <x:c r="G41" s="4" t="inlineStr">
        <x:is>
          <x:t xml:space="preserve">一个二级类目的一次重建需求。</x:t>
        </x:is>
      </x:c>
      <x:c r="H41" s="4" t="inlineStr">
        <x:is>
          <x:t xml:space="preserve">包含本次模块中的商品增删；不能再重复算同一类目的普通商品维护。</x:t>
        </x:is>
      </x:c>
      <x:c r="I41" s="4" t="n"/>
      <x:c r="J41" s="4" t="n"/>
    </x:row>
    <x:row r="42" ht="85" customHeight="1">
      <x:c r="A42" s="8" t="inlineStr">
        <x:is>
          <x:t xml:space="preserve">P028</x:t>
        </x:is>
      </x:c>
      <x:c r="B42" s="8" t="inlineStr">
        <x:is>
          <x:t xml:space="preserve">Brand Store</x:t>
        </x:is>
      </x:c>
      <x:c r="C42" s="8" t="inlineStr">
        <x:is>
          <x:t xml:space="preserve">其他板块原有报错阻断提交</x:t>
        </x:is>
      </x:c>
      <x:c r="D42" s="8" t="inlineStr">
        <x:is>
          <x:t xml:space="preserve">本次提交被其他板块的原有问题阻断。</x:t>
        </x:is>
      </x:c>
      <x:c r="E42" s="8" t="inlineStr">
        <x:is>
          <x:t xml:space="preserve">定位阻断位置；确认与本次修改无关；修复必要内容；重新提交并核验。</x:t>
        </x:is>
      </x:c>
      <x:c r="F42" s="8" t="inlineStr">
        <x:is>
          <x:t xml:space="preserve">阻断解除，保存原报错、修复位置和提交记录。</x:t>
        </x:is>
      </x:c>
      <x:c r="G42" s="8" t="inlineStr">
        <x:is>
          <x:t xml:space="preserve">一次独立提交任务的阻断处理。</x:t>
        </x:is>
      </x:c>
      <x:c r="H42" s="8" t="inlineStr">
        <x:is>
          <x:t xml:space="preserve">本人本次改动造成的错误是返工；同一次提交多个报错不逐条拆分。</x:t>
        </x:is>
      </x:c>
      <x:c r="I42" s="8" t="n"/>
      <x:c r="J42" s="8" t="n"/>
    </x:row>
    <x:row r="43" ht="85" customHeight="1">
      <x:c r="A43" s="4" t="inlineStr">
        <x:is>
          <x:t xml:space="preserve">P029</x:t>
        </x:is>
      </x:c>
      <x:c r="B43" s="4" t="inlineStr">
        <x:is>
          <x:t xml:space="preserve">数据报表</x:t>
        </x:is>
      </x:c>
      <x:c r="C43" s="4" t="inlineStr">
        <x:is>
          <x:t xml:space="preserve">每周VOC数据更新与AI分析</x:t>
        </x:is>
      </x:c>
      <x:c r="D43" s="4" t="inlineStr">
        <x:is>
          <x:t xml:space="preserve">本周需要处理的数据来源、期间及数据库位置。</x:t>
        </x:is>
      </x:c>
      <x:c r="E43" s="4" t="inlineStr">
        <x:is>
          <x:t xml:space="preserve">下载数据；导入数据库并核对遗漏、重复；运行AI分析；保存并检查结果是否正常。</x:t>
        </x:is>
      </x:c>
      <x:c r="F43" s="4" t="inlineStr">
        <x:is>
          <x:t xml:space="preserve">数据成功入库，期间正确，AI结果已保存且完成基本检查。</x:t>
        </x:is>
      </x:c>
      <x:c r="G43" s="4" t="inlineStr">
        <x:is>
          <x:t xml:space="preserve">一个约定自然周的完整处理任务。</x:t>
        </x:is>
      </x:c>
      <x:c r="H43" s="4" t="inlineStr">
        <x:is>
          <x:t xml:space="preserve">运行AI不等于独立分析报告；另行核实问题、提出建议时需说明新增交付。</x:t>
        </x:is>
      </x:c>
      <x:c r="I43" s="4" t="n"/>
      <x:c r="J43" s="4" t="n"/>
    </x:row>
    <x:row r="44" ht="85" customHeight="1">
      <x:c r="A44" s="8" t="inlineStr">
        <x:is>
          <x:t xml:space="preserve">P031</x:t>
        </x:is>
      </x:c>
      <x:c r="B44" s="8" t="inlineStr">
        <x:is>
          <x:t xml:space="preserve">客户声音</x:t>
        </x:is>
      </x:c>
      <x:c r="C44" s="8" t="inlineStr">
        <x:is>
          <x:t xml:space="preserve">产品质量共性问题整理与反馈</x:t>
        </x:is>
      </x:c>
      <x:c r="D44" s="8" t="inlineStr">
        <x:is>
          <x:t xml:space="preserve">Review、退货或客服反馈等可用资料。</x:t>
        </x:is>
      </x:c>
      <x:c r="E44" s="8" t="inlineStr">
        <x:is>
          <x:t xml:space="preserve">核对问题描述；归类同类问题；整理相关产品和证据；反馈给负责人并跟进约定节点。</x:t>
        </x:is>
      </x:c>
      <x:c r="F44" s="8" t="inlineStr">
        <x:is>
          <x:t xml:space="preserve">一份清楚的问题汇总、证据和接收或处理反馈。</x:t>
        </x:is>
      </x:c>
      <x:c r="G44" s="8" t="inlineStr">
        <x:is>
          <x:t xml:space="preserve">一类独立共性问题。</x:t>
        </x:is>
      </x:c>
      <x:c r="H44" s="8" t="inlineStr">
        <x:is>
          <x:t xml:space="preserve">不是转发单条消息；与VOC分析或开发验证中已包含的同一反馈不重复算。是否由运营承担请确认。</x:t>
        </x:is>
      </x:c>
      <x:c r="I44" s="8" t="n"/>
      <x:c r="J44" s="8" t="n"/>
    </x:row>
    <x:row r="45" ht="85" customHeight="1">
      <x:c r="A45" s="4" t="inlineStr">
        <x:is>
          <x:t xml:space="preserve">P032</x:t>
        </x:is>
      </x:c>
      <x:c r="B45" s="4" t="inlineStr">
        <x:is>
          <x:t xml:space="preserve">库存配送</x:t>
        </x:is>
      </x:c>
      <x:c r="C45" s="4" t="inlineStr">
        <x:is>
          <x:t xml:space="preserve">FBA shipment问题处理</x:t>
        </x:is>
      </x:c>
      <x:c r="D45" s="4" t="inlineStr">
        <x:is>
          <x:t xml:space="preserve">货件编号及平台提示。</x:t>
        </x:is>
      </x:c>
      <x:c r="E45" s="4" t="inlineStr">
        <x:is>
          <x:t xml:space="preserve">查看问题并核对事实；按情况接受，或选择不接受并提交Appeal；记录结果。</x:t>
        </x:is>
      </x:c>
      <x:c r="F45" s="4" t="inlineStr">
        <x:is>
          <x:t xml:space="preserve">必要操作完成，提交或处理状态已核验。</x:t>
        </x:is>
      </x:c>
      <x:c r="G45" s="4" t="inlineStr">
        <x:is>
          <x:t xml:space="preserve">同一货件的同一问题。</x:t>
        </x:is>
      </x:c>
      <x:c r="H45" s="4" t="inlineStr">
        <x:is>
          <x:t xml:space="preserve">以简单查看及后台操作为主；如需另行调查收费、遗失或复杂证据，描述新增范围再判断。</x:t>
        </x:is>
      </x:c>
      <x:c r="I45" s="4" t="n"/>
      <x:c r="J45" s="4" t="n"/>
    </x:row>
    <x:row r="46" ht="85" customHeight="1">
      <x:c r="A46" s="8" t="inlineStr">
        <x:is>
          <x:t xml:space="preserve">P033</x:t>
        </x:is>
      </x:c>
      <x:c r="B46" s="8" t="inlineStr">
        <x:is>
          <x:t xml:space="preserve">库存配送</x:t>
        </x:is>
      </x:c>
      <x:c r="C46" s="8" t="inlineStr">
        <x:is>
          <x:t xml:space="preserve">程序生成的冗余库存折扣上传</x:t>
        </x:is>
      </x:c>
      <x:c r="D46" s="8" t="inlineStr">
        <x:is>
          <x:t xml:space="preserve">程序已经生成SKU和折扣方案。</x:t>
        </x:is>
      </x:c>
      <x:c r="E46" s="8" t="inlineStr">
        <x:is>
          <x:t xml:space="preserve">核对上传文件；提交折扣或价格；处理报错并检查结果。</x:t>
        </x:is>
      </x:c>
      <x:c r="F46" s="8" t="inlineStr">
        <x:is>
          <x:t xml:space="preserve">给定方案正确上传，成功与失败项核对清楚。</x:t>
        </x:is>
      </x:c>
      <x:c r="G46" s="8" t="inlineStr">
        <x:is>
          <x:t xml:space="preserve">同一次安排的一批上传。</x:t>
        </x:is>
      </x:c>
      <x:c r="H46" s="8" t="inlineStr">
        <x:is>
          <x:t xml:space="preserve">不包含自己分析冗余原因和制定折扣；不按SKU、文件数或重试次数增加任务。</x:t>
        </x:is>
      </x:c>
      <x:c r="I46" s="8" t="n"/>
      <x:c r="J46" s="8" t="n"/>
    </x:row>
    <x:row r="47" ht="85" customHeight="1">
      <x:c r="A47" s="4" t="inlineStr">
        <x:is>
          <x:t xml:space="preserve">P034</x:t>
        </x:is>
      </x:c>
      <x:c r="B47" s="4" t="inlineStr">
        <x:is>
          <x:t xml:space="preserve">滞留库存</x:t>
        </x:is>
      </x:c>
      <x:c r="C47" s="4" t="inlineStr">
        <x:is>
          <x:t xml:space="preserve">库存移除</x:t>
        </x:is>
      </x:c>
      <x:c r="D47" s="4" t="inlineStr">
        <x:is>
          <x:t xml:space="preserve">需移除SKU、数量及已确认处理方式。</x:t>
        </x:is>
      </x:c>
      <x:c r="E47" s="4" t="inlineStr">
        <x:is>
          <x:t xml:space="preserve">核对库存和数量；创建移除订单；检查订单内容并保存编号。</x:t>
        </x:is>
      </x:c>
      <x:c r="F47" s="4" t="inlineStr">
        <x:is>
          <x:t xml:space="preserve">移除订单成功创建且信息正确。</x:t>
        </x:is>
      </x:c>
      <x:c r="G47" s="4" t="inlineStr">
        <x:is>
          <x:t xml:space="preserve">同一次安排、同一处理方式的一批移除。</x:t>
        </x:is>
      </x:c>
      <x:c r="H47" s="4" t="inlineStr">
        <x:is>
          <x:t xml:space="preserve">订单执行等待单独记录；同一问题已包含在其他库存处置任务中时不重复。</x:t>
        </x:is>
      </x:c>
      <x:c r="I47" s="4" t="n"/>
      <x:c r="J47" s="4" t="n"/>
    </x:row>
    <x:row r="48" ht="85" customHeight="1">
      <x:c r="A48" s="8" t="inlineStr">
        <x:is>
          <x:t xml:space="preserve">P035</x:t>
        </x:is>
      </x:c>
      <x:c r="B48" s="8" t="inlineStr">
        <x:is>
          <x:t xml:space="preserve">滞留库存</x:t>
        </x:is>
      </x:c>
      <x:c r="C48" s="8" t="inlineStr">
        <x:is>
          <x:t xml:space="preserve">Relist重新发布</x:t>
        </x:is>
      </x:c>
      <x:c r="D48" s="8" t="inlineStr">
        <x:is>
          <x:t xml:space="preserve">滞留商品清单和系统原因。</x:t>
        </x:is>
      </x:c>
      <x:c r="E48" s="8" t="inlineStr">
        <x:is>
          <x:t xml:space="preserve">核对商品状态；执行重新发布；检查发布结果及滞留状态。</x:t>
        </x:is>
      </x:c>
      <x:c r="F48" s="8" t="inlineStr">
        <x:is>
          <x:t xml:space="preserve">重新发布操作有效完成，当前状态与剩余问题清楚。</x:t>
        </x:is>
      </x:c>
      <x:c r="G48" s="8" t="inlineStr">
        <x:is>
          <x:t xml:space="preserve">同一次安排、可共同处理的一批Relist。</x:t>
        </x:is>
      </x:c>
      <x:c r="H48" s="8" t="inlineStr">
        <x:is>
          <x:t xml:space="preserve">同一问题Relist无效再转申诉属于连续处理，不把尝试分别算成完整任务。</x:t>
        </x:is>
      </x:c>
      <x:c r="I48" s="8" t="n"/>
      <x:c r="J48" s="8" t="n"/>
    </x:row>
    <x:row r="49" ht="85" customHeight="1">
      <x:c r="A49" s="4" t="inlineStr">
        <x:is>
          <x:t xml:space="preserve">P036</x:t>
        </x:is>
      </x:c>
      <x:c r="B49" s="4" t="inlineStr">
        <x:is>
          <x:t xml:space="preserve">滞留库存</x:t>
        </x:is>
      </x:c>
      <x:c r="C49" s="4" t="inlineStr">
        <x:is>
          <x:t xml:space="preserve">库存专属问题申诉或Case</x:t>
        </x:is>
      </x:c>
      <x:c r="D49" s="4" t="inlineStr">
        <x:is>
          <x:t xml:space="preserve">滞留原因及可用库存资料。</x:t>
        </x:is>
      </x:c>
      <x:c r="E49" s="4" t="inlineStr">
        <x:is>
          <x:t xml:space="preserve">核对问题；整理资料；提交申诉或Case；跟进反馈并核验状态。</x:t>
        </x:is>
      </x:c>
      <x:c r="F49" s="4" t="inlineStr">
        <x:is>
          <x:t xml:space="preserve">问题解决，或完整记录和反馈经负责人确认阶段结案。</x:t>
        </x:is>
      </x:c>
      <x:c r="G49" s="4" t="inlineStr">
        <x:is>
          <x:t xml:space="preserve">一项独立库存问题。</x:t>
        </x:is>
      </x:c>
      <x:c r="H49" s="4" t="inlineStr">
        <x:is>
          <x:t xml:space="preserve">Listing本身异常造成滞留且由同一修复解决时归Listing异常；不重复算同一Case成果。</x:t>
        </x:is>
      </x:c>
      <x:c r="I49" s="4" t="n"/>
      <x:c r="J49" s="4" t="n"/>
    </x:row>
    <x:row r="50" ht="85" customHeight="1">
      <x:c r="A50" s="8" t="inlineStr">
        <x:is>
          <x:t xml:space="preserve">P037</x:t>
        </x:is>
      </x:c>
      <x:c r="B50" s="8" t="inlineStr">
        <x:is>
          <x:t xml:space="preserve">滞留库存</x:t>
        </x:is>
      </x:c>
      <x:c r="C50" s="8" t="inlineStr">
        <x:is>
          <x:t xml:space="preserve">已有电池或化学品资料提交</x:t>
        </x:is>
      </x:c>
      <x:c r="D50" s="8" t="inlineStr">
        <x:is>
          <x:t xml:space="preserve">已有完整资料、文件版本及对应SKU。</x:t>
        </x:is>
      </x:c>
      <x:c r="E50" s="8" t="inlineStr">
        <x:is>
          <x:t xml:space="preserve">核对文件与商品对应；上传提交；跟进审核并保存结果。</x:t>
        </x:is>
      </x:c>
      <x:c r="F50" s="8" t="inlineStr">
        <x:is>
          <x:t xml:space="preserve">正确资料提交完成，版本、对应关系和审核结果可追溯。</x:t>
        </x:is>
      </x:c>
      <x:c r="G50" s="8" t="inlineStr">
        <x:is>
          <x:t xml:space="preserve">可共同提交的一批资料。</x:t>
        </x:is>
      </x:c>
      <x:c r="H50" s="8" t="inlineStr">
        <x:is>
          <x:t xml:space="preserve">员工不负责凭空补造产品资料；资料尚在审核时记录进度，不把等待算新工作。</x:t>
        </x:is>
      </x:c>
      <x:c r="I50" s="8" t="n"/>
      <x:c r="J50" s="8" t="n"/>
    </x:row>
    <x:row r="51" ht="85" customHeight="1">
      <x:c r="A51" s="4" t="inlineStr">
        <x:is>
          <x:t xml:space="preserve">P038</x:t>
        </x:is>
      </x:c>
      <x:c r="B51" s="4" t="inlineStr">
        <x:is>
          <x:t xml:space="preserve">滞留库存</x:t>
        </x:is>
      </x:c>
      <x:c r="C51" s="4" t="inlineStr">
        <x:is>
          <x:t xml:space="preserve">电池或化学品资料协调与提交</x:t>
        </x:is>
      </x:c>
      <x:c r="D51" s="4" t="inlineStr">
        <x:is>
          <x:t xml:space="preserve">有商品信息，但所需文件缺失或版本不明。</x:t>
        </x:is>
      </x:c>
      <x:c r="E51" s="4" t="inlineStr">
        <x:is>
          <x:t xml:space="preserve">联系负责人或厂家获取资料；核对完整性和商品对应；完成提交并跟进反馈。</x:t>
        </x:is>
      </x:c>
      <x:c r="F51" s="4" t="inlineStr">
        <x:is>
          <x:t xml:space="preserve">取得可用资料并完成提交，后续状态清楚。</x:t>
        </x:is>
      </x:c>
      <x:c r="G51" s="4" t="inlineStr">
        <x:is>
          <x:t xml:space="preserve">一次独立资料协调及提交任务。</x:t>
        </x:is>
      </x:c>
      <x:c r="H51" s="4" t="inlineStr">
        <x:is>
          <x:t xml:space="preserve">包含提交工作，不再重复列“已有资料提交”；等待时间与实际沟通时间分开记录。</x:t>
        </x:is>
      </x:c>
      <x:c r="I51" s="4" t="n"/>
      <x:c r="J51" s="4" t="n"/>
    </x:row>
    <x:row r="52" ht="85" customHeight="1">
      <x:c r="A52" s="8" t="inlineStr">
        <x:is>
          <x:t xml:space="preserve">P039</x:t>
        </x:is>
      </x:c>
      <x:c r="B52" s="8" t="inlineStr">
        <x:is>
          <x:t xml:space="preserve">数据报表</x:t>
        </x:is>
      </x:c>
      <x:c r="C52" s="8" t="inlineStr">
        <x:is>
          <x:t xml:space="preserve">Category Report下载</x:t>
        </x:is>
      </x:c>
      <x:c r="D52" s="8" t="inlineStr">
        <x:is>
          <x:t xml:space="preserve">约定的账户、站点、下载频次和保存位置。</x:t>
        </x:is>
      </x:c>
      <x:c r="E52" s="8" t="inlineStr">
        <x:is>
          <x:t xml:space="preserve">手动下载；按要求命名归档；核对站点、日期及文件可用性。</x:t>
        </x:is>
      </x:c>
      <x:c r="F52" s="8" t="inlineStr">
        <x:is>
          <x:t xml:space="preserve">应下载记录齐全且可用，遗漏或系统故障有说明。</x:t>
        </x:is>
      </x:c>
      <x:c r="G52" s="8" t="inlineStr">
        <x:is>
          <x:t xml:space="preserve">约定周的下载任务；保留每日完成记录。</x:t>
        </x:is>
      </x:c>
      <x:c r="H52" s="8" t="inlineStr">
        <x:is>
          <x:t xml:space="preserve">同一天重复下载不增加任务；全自动且无需人工核验的部分不作为人工工作量。</x:t>
        </x:is>
      </x:c>
      <x:c r="I52" s="8" t="n"/>
      <x:c r="J52" s="8" t="n"/>
    </x:row>
    <x:row r="53" ht="85" customHeight="1">
      <x:c r="A53" s="4" t="inlineStr">
        <x:is>
          <x:t xml:space="preserve">P040</x:t>
        </x:is>
      </x:c>
      <x:c r="B53" s="4" t="inlineStr">
        <x:is>
          <x:t xml:space="preserve">数据报表</x:t>
        </x:is>
      </x:c>
      <x:c r="C53" s="4" t="inlineStr">
        <x:is>
          <x:t xml:space="preserve">关键词市场占有率统计及竞品检查</x:t>
        </x:is>
      </x:c>
      <x:c r="D53" s="4" t="inlineStr">
        <x:is>
          <x:t xml:space="preserve">本月分配的关键词、站点及统一计算口径。</x:t>
        </x:is>
      </x:c>
      <x:c r="E53" s="4" t="inlineStr">
        <x:is>
          <x:t xml:space="preserve">用H10逐词取得搜索结果；整理数据；按既定口径计算占有率；与前期比较并检查新增竞品或产品。</x:t>
        </x:is>
      </x:c>
      <x:c r="F53" s="4" t="inlineStr">
        <x:is>
          <x:t xml:space="preserve">每个关键词有原始数据、计算结果及竞品变化说明。</x:t>
        </x:is>
      </x:c>
      <x:c r="G53" s="4" t="inlineStr">
        <x:is>
          <x:t xml:space="preserve">一个关键词的一次月度统计。</x:t>
        </x:is>
      </x:c>
      <x:c r="H53" s="4" t="inlineStr">
        <x:is>
          <x:t xml:space="preserve">每个关键词需单独处理；必须写清占有率分母和范围，不能把搜索结果样本直接当作全市场销售份额。</x:t>
        </x:is>
      </x:c>
      <x:c r="I53" s="4" t="n"/>
      <x:c r="J53" s="4" t="n"/>
    </x:row>
    <x:row r="54" ht="85" customHeight="1">
      <x:c r="A54" s="8" t="inlineStr">
        <x:is>
          <x:t xml:space="preserve">P041</x:t>
        </x:is>
      </x:c>
      <x:c r="B54" s="8" t="inlineStr">
        <x:is>
          <x:t xml:space="preserve">跨站点</x:t>
        </x:is>
      </x:c>
      <x:c r="C54" s="8" t="inlineStr">
        <x:is>
          <x:t xml:space="preserve">CA/MX/BR等站点Listing上架</x:t>
        </x:is>
      </x:c>
      <x:c r="D54" s="8" t="inlineStr">
        <x:is>
          <x:t xml:space="preserve">美国站资料、目标站点及待上架SKU清单。</x:t>
        </x:is>
      </x:c>
      <x:c r="E54" s="8" t="inlineStr">
        <x:is>
          <x:t xml:space="preserve">取得目标站点模板；改写或翻译已有资料并核对；补齐当地所需字段；上架、处理报错及核验关系。</x:t>
        </x:is>
      </x:c>
      <x:c r="F54" s="8" t="inlineStr">
        <x:is>
          <x:t xml:space="preserve">目标站点约定SKU上架正确，关键内容及关系核验完成。</x:t>
        </x:is>
      </x:c>
      <x:c r="G54" s="8" t="inlineStr">
        <x:is>
          <x:t xml:space="preserve">同一业务需求、同一目标站点、可共用模板的SKU组。</x:t>
        </x:is>
      </x:c>
      <x:c r="H54" s="8" t="inlineStr">
        <x:is>
          <x:t xml:space="preserve">与美国站同样区分无变体、一个父体、多个父体；本次上架包含的翻译不能再重复单列。</x:t>
        </x:is>
      </x:c>
      <x:c r="I54" s="8" t="n"/>
      <x:c r="J54" s="8" t="n"/>
    </x:row>
    <x:row r="55" ht="85" customHeight="1">
      <x:c r="A55" s="4" t="inlineStr">
        <x:is>
          <x:t xml:space="preserve">P042</x:t>
        </x:is>
      </x:c>
      <x:c r="B55" s="4" t="inlineStr">
        <x:is>
          <x:t xml:space="preserve">跨站点</x:t>
        </x:is>
      </x:c>
      <x:c r="C55" s="4" t="inlineStr">
        <x:is>
          <x:t xml:space="preserve">已有A+翻译并发布</x:t>
        </x:is>
      </x:c>
      <x:c r="D55" s="4" t="inlineStr">
        <x:is>
          <x:t xml:space="preserve">原A+内容、目标站点及应绑定商品清单。</x:t>
        </x:is>
      </x:c>
      <x:c r="E55" s="4" t="inlineStr">
        <x:is>
          <x:t xml:space="preserve">翻译并核对已有内容；适配目标站点；发布、绑定本次商品并检查应用结果。</x:t>
        </x:is>
      </x:c>
      <x:c r="F55" s="4" t="inlineStr">
        <x:is>
          <x:t xml:space="preserve">原内容与目标内容对应正确，约定站点和绑定范围完成。</x:t>
        </x:is>
      </x:c>
      <x:c r="G55" s="4" t="inlineStr">
        <x:is>
          <x:t xml:space="preserve">同一需求内的一份原A+内容批次，列出目标站点。</x:t>
        </x:is>
      </x:c>
      <x:c r="H55" s="4" t="inlineStr">
        <x:is>
          <x:t xml:space="preserve">区分语言转换与独立新策划；同批首次发布绑定已包含，共用内容不按SKU增加份数。</x:t>
        </x:is>
      </x:c>
      <x:c r="I55" s="4" t="n"/>
      <x:c r="J55" s="4" t="n"/>
    </x:row>
    <x:row r="56" ht="85" customHeight="1">
      <x:c r="A56" s="8" t="inlineStr">
        <x:is>
          <x:t xml:space="preserve">P043</x:t>
        </x:is>
      </x:c>
      <x:c r="B56" s="8" t="inlineStr">
        <x:is>
          <x:t xml:space="preserve">跨站点</x:t>
        </x:is>
      </x:c>
      <x:c r="C56" s="8" t="inlineStr">
        <x:is>
          <x:t xml:space="preserve">已有文案翻译后批量更新</x:t>
        </x:is>
      </x:c>
      <x:c r="D56" s="8" t="inlineStr">
        <x:is>
          <x:t xml:space="preserve">负责人已经给定的原文和目标商品、站点。</x:t>
        </x:is>
      </x:c>
      <x:c r="E56" s="8" t="inlineStr">
        <x:is>
          <x:t xml:space="preserve">用AI翻译标题、五点或描述；核对参数和表达；整理文件批量更新，必要时后台手动修改并核验。</x:t>
        </x:is>
      </x:c>
      <x:c r="F56" s="8" t="inlineStr">
        <x:is>
          <x:t xml:space="preserve">给定范围更新正确，失败项及处理方式有记录。</x:t>
        </x:is>
      </x:c>
      <x:c r="G56" s="8" t="inlineStr">
        <x:is>
          <x:t xml:space="preserve">同一次需求的一批文案更新。</x:t>
        </x:is>
      </x:c>
      <x:c r="H56" s="8" t="inlineStr">
        <x:is>
          <x:t xml:space="preserve">标明程序可完成与需逐条手动处理的数量；不属于独立原创文案，也不重复算上架中已含的翻译。</x:t>
        </x:is>
      </x:c>
      <x:c r="I56" s="8" t="n"/>
      <x:c r="J56" s="8" t="n"/>
    </x:row>
    <x:row r="57" ht="85" customHeight="1">
      <x:c r="A57" s="4" t="inlineStr">
        <x:is>
          <x:t xml:space="preserve">P044</x:t>
        </x:is>
      </x:c>
      <x:c r="B57" s="4" t="inlineStr">
        <x:is>
          <x:t xml:space="preserve">新品开发</x:t>
        </x:is>
      </x:c>
      <x:c r="C57" s="4" t="inlineStr">
        <x:is>
          <x:t xml:space="preserve">市场调研与产品建议</x:t>
        </x:is>
      </x:c>
      <x:c r="D57" s="4" t="inlineStr">
        <x:is>
          <x:t xml:space="preserve">负责人已确定的产品方向、用途和调研目标。</x:t>
        </x:is>
      </x:c>
      <x:c r="E57" s="4" t="inlineStr">
        <x:is>
          <x:t xml:space="preserve">调研竞品、需求、规格、价格及客户问题；估算成本与利润空间；比较机会和风险；提出做或不做的建议。</x:t>
        </x:is>
      </x:c>
      <x:c r="F57" s="4" t="inlineStr">
        <x:is>
          <x:t xml:space="preserve">有来源、对比数据、判断依据和明确建议的调研报告，经负责人确认。</x:t>
        </x:is>
      </x:c>
      <x:c r="G57" s="4" t="inlineStr">
        <x:is>
          <x:t xml:space="preserve">一个独立产品方向或共用调研的系列阶段。</x:t>
        </x:is>
      </x:c>
      <x:c r="H57" s="4" t="inlineStr">
        <x:is>
          <x:t xml:space="preserve">参数略不同、共用研究的系列不按SKU重复。完整调研后建议不开发也属于有效交付；未完成阶段需写明。</x:t>
        </x:is>
      </x:c>
      <x:c r="I57" s="4" t="n"/>
      <x:c r="J57" s="4" t="n"/>
    </x:row>
    <x:row r="58" ht="85" customHeight="1">
      <x:c r="A58" s="8" t="inlineStr">
        <x:is>
          <x:t xml:space="preserve">P045</x:t>
        </x:is>
      </x:c>
      <x:c r="B58" s="8" t="inlineStr">
        <x:is>
          <x:t xml:space="preserve">新品开发</x:t>
        </x:is>
      </x:c>
      <x:c r="C58" s="8" t="inlineStr">
        <x:is>
          <x:t xml:space="preserve">厂家筛选、报价及合作条件确认</x:t>
        </x:is>
      </x:c>
      <x:c r="D58" s="8" t="inlineStr">
        <x:is>
          <x:t xml:space="preserve">目标产品要求及需要确认的采购条件。</x:t>
        </x:is>
      </x:c>
      <x:c r="E58" s="8" t="inlineStr">
        <x:is>
          <x:t xml:space="preserve">寻找匹配厂家；核实供货能力；索取并比较报价、MOQ、交期、包装和定制条件；说明选择建议。</x:t>
        </x:is>
      </x:c>
      <x:c r="F58" s="8" t="inlineStr">
        <x:is>
          <x:t xml:space="preserve">一份可决策的厂家对比和关键条件确认记录。</x:t>
        </x:is>
      </x:c>
      <x:c r="G58" s="8" t="inlineStr">
        <x:is>
          <x:t xml:space="preserve">一个开发项目或共用厂家方案的系列阶段。</x:t>
        </x:is>
      </x:c>
      <x:c r="H58" s="8" t="inlineStr">
        <x:is>
          <x:t xml:space="preserve">不按联系次数或报价张数计工作；现成厂家简单询价与从零寻找需要区分。无合适厂家时交付调查结论。</x:t>
        </x:is>
      </x:c>
      <x:c r="I58" s="8" t="n"/>
      <x:c r="J58" s="8" t="n"/>
    </x:row>
    <x:row r="59" ht="85" customHeight="1">
      <x:c r="A59" s="4" t="inlineStr">
        <x:is>
          <x:t xml:space="preserve">P046</x:t>
        </x:is>
      </x:c>
      <x:c r="B59" s="4" t="inlineStr">
        <x:is>
          <x:t xml:space="preserve">新品开发</x:t>
        </x:is>
      </x:c>
      <x:c r="C59" s="4" t="inlineStr">
        <x:is>
          <x:t xml:space="preserve">样品评估及问题跟进</x:t>
        </x:is>
      </x:c>
      <x:c r="D59" s="4" t="inlineStr">
        <x:is>
          <x:t xml:space="preserve">样品、参数要求和事先约定的验证范围。</x:t>
        </x:is>
      </x:c>
      <x:c r="E59" s="4" t="inlineStr">
        <x:is>
          <x:t xml:space="preserve">检查或协调测试样品；记录外观、功能、参数等结果；向厂家反馈问题；跟进整改与必要复测。</x:t>
        </x:is>
      </x:c>
      <x:c r="F59" s="4" t="inlineStr">
        <x:is>
          <x:t xml:space="preserve">形成通过、需修改或停止的验证结论及证据，负责人可据此决策。</x:t>
        </x:is>
      </x:c>
      <x:c r="G59" s="4" t="inlineStr">
        <x:is>
          <x:t xml:space="preserve">一项独立样品验证方案及本轮问题处理。</x:t>
        </x:is>
      </x:c>
      <x:c r="H59" s="4" t="inlineStr">
        <x:is>
          <x:t xml:space="preserve">同系列共用验证、不同参数的额外检查要写清；原问题整改及补测属于同一阶段，不按收样次数重复算。</x:t>
        </x:is>
      </x:c>
      <x:c r="I59" s="4" t="n"/>
      <x:c r="J59" s="4" t="n"/>
    </x:row>
    <x:row r="60" ht="85" customHeight="1">
      <x:c r="A60" s="8" t="inlineStr">
        <x:is>
          <x:t xml:space="preserve">P047</x:t>
        </x:is>
      </x:c>
      <x:c r="B60" s="8" t="inlineStr">
        <x:is>
          <x:t xml:space="preserve">新品开发</x:t>
        </x:is>
      </x:c>
      <x:c r="C60" s="8" t="inlineStr">
        <x:is>
          <x:t xml:space="preserve">额外产品资料核实与整理</x:t>
        </x:is>
      </x:c>
      <x:c r="D60" s="8" t="inlineStr">
        <x:is>
          <x:t xml:space="preserve">已有资料不完整或互相矛盾，且未被其他开发阶段解决。</x:t>
        </x:is>
      </x:c>
      <x:c r="E60" s="8" t="inlineStr">
        <x:is>
          <x:t xml:space="preserve">向负责人或厂家核实规格、用途、限制和包装内容；解决缺项与冲突；整理确认后的事实资料。</x:t>
        </x:is>
      </x:c>
      <x:c r="F60" s="8" t="inlineStr">
        <x:is>
          <x:t xml:space="preserve">一套可供文案、图片和上架使用的产品事实资料，并保留确认依据。</x:t>
        </x:is>
      </x:c>
      <x:c r="G60" s="8" t="inlineStr">
        <x:is>
          <x:t xml:space="preserve">一套额外独立核实的产品资料。</x:t>
        </x:is>
      </x:c>
      <x:c r="H60" s="8" t="inlineStr">
        <x:is>
          <x:t xml:space="preserve">仅汇总已有完整资料不等于独立核实；调研、找厂、样品阶段已经交付的相同资料不重复算。</x:t>
        </x:is>
      </x:c>
      <x:c r="I60" s="8" t="n"/>
      <x:c r="J60" s="8" t="n"/>
    </x:row>
    <x:row r="61" ht="85" customHeight="1">
      <x:c r="A61" s="4" t="inlineStr">
        <x:is>
          <x:t xml:space="preserve">P048</x:t>
        </x:is>
      </x:c>
      <x:c r="B61" s="4" t="inlineStr">
        <x:is>
          <x:t xml:space="preserve">新品开发</x:t>
        </x:is>
      </x:c>
      <x:c r="C61" s="4" t="inlineStr">
        <x:is>
          <x:t xml:space="preserve">产品主辅图策划</x:t>
        </x:is>
      </x:c>
      <x:c r="D61" s="4" t="inlineStr">
        <x:is>
          <x:t xml:space="preserve">产品事实、用户需求、参考图片及展示目标。</x:t>
        </x:is>
      </x:c>
      <x:c r="E61" s="4" t="inlineStr">
        <x:is>
          <x:t xml:space="preserve">构思每张主辅图的用途、卖点、参数、文案和画面；提出美工需求；跟进修改并核验成图。</x:t>
        </x:is>
      </x:c>
      <x:c r="F61" s="4" t="inlineStr">
        <x:is>
          <x:t xml:space="preserve">一套明确可执行的图片方案及符合要求的成图确认记录。</x:t>
        </x:is>
      </x:c>
      <x:c r="G61" s="4" t="inlineStr">
        <x:is>
          <x:t xml:space="preserve">一套独立主辅图方案，系列共用方案只列一次。</x:t>
        </x:is>
      </x:c>
      <x:c r="H61" s="4" t="inlineStr">
        <x:is>
          <x:t xml:space="preserve">实际拍照、设计修图由美工承担；上传另外列明。A+策划已包含的相同素材构思不能重复算。</x:t>
        </x:is>
      </x:c>
      <x:c r="I61" s="4" t="n"/>
      <x:c r="J61" s="4" t="n"/>
    </x:row>
    <x:row r="62" ht="85" customHeight="1">
      <x:c r="A62" s="8" t="inlineStr">
        <x:is>
          <x:t xml:space="preserve">P049</x:t>
        </x:is>
      </x:c>
      <x:c r="B62" s="8" t="inlineStr">
        <x:is>
          <x:t xml:space="preserve">新品开发</x:t>
        </x:is>
      </x:c>
      <x:c r="C62" s="8" t="inlineStr">
        <x:is>
          <x:t xml:space="preserve">视频字幕文案编写</x:t>
        </x:is>
      </x:c>
      <x:c r="D62" s="8" t="inlineStr">
        <x:is>
          <x:t xml:space="preserve">产品资料、已有视频或确定的画面顺序。</x:t>
        </x:is>
      </x:c>
      <x:c r="E62" s="8" t="inlineStr">
        <x:is>
          <x:t xml:space="preserve">理解产品和画面；编写对应字幕；核对参数、用途及限制；提供时间或段落对应并修改定稿。</x:t>
        </x:is>
      </x:c>
      <x:c r="F62" s="8" t="inlineStr">
        <x:is>
          <x:t xml:space="preserve">可直接使用、与画面对应且内容准确的字幕稿。</x:t>
        </x:is>
      </x:c>
      <x:c r="G62" s="8" t="inlineStr">
        <x:is>
          <x:t xml:space="preserve">一份独立视频字幕稿。</x:t>
        </x:is>
      </x:c>
      <x:c r="H62" s="8" t="inlineStr">
        <x:is>
          <x:t xml:space="preserve">不含完整视频脚本、拍摄和剪辑；直接使用已有字幕与原创编写区分，翻译情形请补充。</x:t>
        </x:is>
      </x:c>
      <x:c r="I62" s="8" t="n"/>
      <x:c r="J62" s="8" t="n"/>
    </x:row>
    <x:row r="63" ht="85" customHeight="1">
      <x:c r="A63" s="4" t="inlineStr">
        <x:is>
          <x:t xml:space="preserve">P050</x:t>
        </x:is>
      </x:c>
      <x:c r="B63" s="4" t="inlineStr">
        <x:is>
          <x:t xml:space="preserve">经营分析</x:t>
        </x:is>
      </x:c>
      <x:c r="C63" s="4" t="inlineStr">
        <x:is>
          <x:t xml:space="preserve">利润或亏损原因分析与建议</x:t>
        </x:is>
      </x:c>
      <x:c r="D63" s="4" t="inlineStr">
        <x:is>
          <x:t xml:space="preserve">目标ASIN、分析期间及可用收入和成本资料。</x:t>
        </x:is>
      </x:c>
      <x:c r="E63" s="4" t="inlineStr">
        <x:is>
          <x:t xml:space="preserve">核对售价、折扣、采购、运费、平台费用、广告和退货损失；找出主要变化原因；提出具体优化建议。</x:t>
        </x:is>
      </x:c>
      <x:c r="F63" s="4" t="inlineStr">
        <x:is>
          <x:t xml:space="preserve">报告说明利润口径、证据、主要原因、建议动作和优先级；数据缺项及结论限制清楚。</x:t>
        </x:is>
      </x:c>
      <x:c r="G63" s="4" t="inlineStr">
        <x:is>
          <x:t xml:space="preserve">一个独立利润问题的分析交付；共用报告的商品合并。</x:t>
        </x:is>
      </x:c>
      <x:c r="H63" s="4" t="inlineStr">
        <x:is>
          <x:t xml:space="preserve">区分初步核查和完整分析；不是直接转发报表或AI原文。建议落实可另列独立执行，相同分析不重复。</x:t>
        </x:is>
      </x:c>
      <x:c r="I63" s="4" t="n"/>
      <x:c r="J63" s="4" t="n"/>
    </x:row>
    <x:row r="64" ht="85" customHeight="1">
      <x:c r="A64" s="8" t="inlineStr">
        <x:is>
          <x:t xml:space="preserve">P051</x:t>
        </x:is>
      </x:c>
      <x:c r="B64" s="8" t="inlineStr">
        <x:is>
          <x:t xml:space="preserve">经营分析</x:t>
        </x:is>
      </x:c>
      <x:c r="C64" s="8" t="inlineStr">
        <x:is>
          <x:t xml:space="preserve">活动效果复盘</x:t>
        </x:is>
      </x:c>
      <x:c r="D64" s="8" t="inlineStr">
        <x:is>
          <x:t xml:space="preserve">活动范围、期间、成本及前后经营数据。</x:t>
        </x:is>
      </x:c>
      <x:c r="E64" s="8" t="inlineStr">
        <x:is>
          <x:t xml:space="preserve">比较销量、流量、转化、优惠、广告、利润和库存；核对同期价格、断货等影响；给出继续、调整或停止建议。</x:t>
        </x:is>
      </x:c>
      <x:c r="F64" s="8" t="inlineStr">
        <x:is>
          <x:t xml:space="preserve">有数据对比、效果判断和具体建议的复盘记录。</x:t>
        </x:is>
      </x:c>
      <x:c r="G64" s="8" t="inlineStr">
        <x:is>
          <x:t xml:space="preserve">一个独立活动方案的一次复盘，共用报告不重复。</x:t>
        </x:is>
      </x:c>
      <x:c r="H64" s="8" t="inlineStr">
        <x:is>
          <x:t xml:space="preserve">活动带来的新增销量与原有销量需区分；资料缺失要说明，不仅凭销售上涨判定有效。</x:t>
        </x:is>
      </x:c>
      <x:c r="I64" s="8" t="n"/>
      <x:c r="J64" s="8" t="n"/>
    </x:row>
    <x:row r="65" ht="85" customHeight="1">
      <x:c r="A65" s="4" t="inlineStr">
        <x:is>
          <x:t xml:space="preserve">P052</x:t>
        </x:is>
      </x:c>
      <x:c r="B65" s="4" t="inlineStr">
        <x:is>
          <x:t xml:space="preserve">费用异常</x:t>
        </x:is>
      </x:c>
      <x:c r="C65" s="4" t="inlineStr">
        <x:is>
          <x:t xml:space="preserve">费用核查与Case申诉</x:t>
        </x:is>
      </x:c>
      <x:c r="D65" s="4" t="inlineStr">
        <x:is>
          <x:t xml:space="preserve">异常收费记录及对应产品或交易资料。</x:t>
        </x:is>
      </x:c>
      <x:c r="E65" s="4" t="inlineStr">
        <x:is>
          <x:t xml:space="preserve">核对收费依据、尺寸重量等相关事实；计算差异；整理证据；开Case并补充跟进，核验更正或退款状态。</x:t>
        </x:is>
      </x:c>
      <x:c r="F65" s="4" t="inlineStr">
        <x:is>
          <x:t xml:space="preserve">费用差异和处理过程清楚；问题解决或负责人确认阶段结案。</x:t>
        </x:is>
      </x:c>
      <x:c r="G65" s="4" t="inlineStr">
        <x:is>
          <x:t xml:space="preserve">同站点、同类原因且共用证据的一项费用问题。</x:t>
        </x:is>
      </x:c>
      <x:c r="H65" s="4" t="inlineStr">
        <x:is>
          <x:t xml:space="preserve">不按收费记录、SKU、Case或催办次数累加；退款结果与实际处理工作分开记录。</x:t>
        </x:is>
      </x:c>
      <x:c r="I65" s="4" t="n"/>
      <x:c r="J65" s="4" t="n"/>
    </x:row>
    <x:row r="66" ht="85" customHeight="1">
      <x:c r="A66" s="8" t="inlineStr">
        <x:is>
          <x:t xml:space="preserve">P053</x:t>
        </x:is>
      </x:c>
      <x:c r="B66" s="8" t="inlineStr">
        <x:is>
          <x:t xml:space="preserve">品牌保护</x:t>
        </x:is>
      </x:c>
      <x:c r="C66" s="8" t="inlineStr">
        <x:is>
          <x:t xml:space="preserve">跟卖情况检查（是否保留待确认）</x:t>
        </x:is>
      </x:c>
      <x:c r="D66" s="8" t="inlineStr">
        <x:is>
          <x:t xml:space="preserve">指定ASIN清单和检查安排。</x:t>
        </x:is>
      </x:c>
      <x:c r="E66" s="8" t="inlineStr">
        <x:is>
          <x:t xml:space="preserve">查看其他报价和卖家变化；记录时间、卖家、价格及证据；发现异常后报告。</x:t>
        </x:is>
      </x:c>
      <x:c r="F66" s="8" t="inlineStr">
        <x:is>
          <x:t xml:space="preserve">约定检查完成，有可追溯记录；没有发现问题也如实记录。</x:t>
        </x:is>
      </x:c>
      <x:c r="G66" s="8" t="inlineStr">
        <x:is>
          <x:t xml:space="preserve">一份约定清单的检查周期。</x:t>
        </x:is>
      </x:c>
      <x:c r="H66" s="8" t="inlineStr">
        <x:is>
          <x:t xml:space="preserve">你们目前较少遇到，先确认是否需要人工固定检查；程序自动完成的部分不当作人工工作。</x:t>
        </x:is>
      </x:c>
      <x:c r="I66" s="8" t="n"/>
      <x:c r="J66" s="8" t="n"/>
    </x:row>
    <x:row r="67" ht="85" customHeight="1">
      <x:c r="A67" s="4" t="inlineStr">
        <x:is>
          <x:t xml:space="preserve">P054</x:t>
        </x:is>
      </x:c>
      <x:c r="B67" s="4" t="inlineStr">
        <x:is>
          <x:t xml:space="preserve">品牌保护</x:t>
        </x:is>
      </x:c>
      <x:c r="C67" s="4" t="inlineStr">
        <x:is>
          <x:t xml:space="preserve">跟卖相关Brand Registry或Case处理</x:t>
        </x:is>
      </x:c>
      <x:c r="D67" s="4" t="inlineStr">
        <x:is>
          <x:t xml:space="preserve">疑似异常卖家、商品和已有有效证据。</x:t>
        </x:is>
      </x:c>
      <x:c r="E67" s="4" t="inlineStr">
        <x:is>
          <x:t xml:space="preserve">核实问题；整理现有证据；通过适用的Brand Registry或Case渠道提交；跟进回复及报价状态。</x:t>
        </x:is>
      </x:c>
      <x:c r="F67" s="4" t="inlineStr">
        <x:is>
          <x:t xml:space="preserve">提交依据、处理过程和当前结果完整，可确认结案或继续跟进。</x:t>
        </x:is>
      </x:c>
      <x:c r="G67" s="4" t="inlineStr">
        <x:is>
          <x:t xml:space="preserve">同站点、同一卖家、同一事实且共用证据的独立案件。</x:t>
        </x:is>
      </x:c>
      <x:c r="H67" s="4" t="inlineStr">
        <x:is>
          <x:t xml:space="preserve">按你当前实际范围描述，不包括Test Buy。出现其他卖家不自动等于违规；多个Case不重复算整案。</x:t>
        </x:is>
      </x:c>
      <x:c r="I67" s="4" t="n"/>
      <x:c r="J67" s="4" t="n"/>
    </x:row>
    <x:row r="68" ht="85" customHeight="1">
      <x:c r="A68" s="8" t="inlineStr">
        <x:is>
          <x:t xml:space="preserve">P055</x:t>
        </x:is>
      </x:c>
      <x:c r="B68" s="8" t="inlineStr">
        <x:is>
          <x:t xml:space="preserve">品牌项目</x:t>
        </x:is>
      </x:c>
      <x:c r="C68" s="8" t="inlineStr">
        <x:is>
          <x:t xml:space="preserve">Vine报名及约定跟进</x:t>
        </x:is>
      </x:c>
      <x:c r="D68" s="8" t="inlineStr">
        <x:is>
          <x:t xml:space="preserve">负责人确认的参与商品、数量及费用安排。</x:t>
        </x:is>
      </x:c>
      <x:c r="E68" s="8" t="inlineStr">
        <x:is>
          <x:t xml:space="preserve">核对后台资格和库存；提交报名；检查结果；在约定节点查看领取及评论状态并记录。</x:t>
        </x:is>
      </x:c>
      <x:c r="F68" s="8" t="inlineStr">
        <x:is>
          <x:t xml:space="preserve">报名正确、状态清楚，约定跟进完成。</x:t>
        </x:is>
      </x:c>
      <x:c r="G68" s="8" t="inlineStr">
        <x:is>
          <x:t xml:space="preserve">后台一个独立报名项目及约定跟进范围。</x:t>
        </x:is>
      </x:c>
      <x:c r="H68" s="8" t="inlineStr">
        <x:is>
          <x:t xml:space="preserve">不按领取件数、评论条数或好评数量计工作；平台费用和商品成本与任务报酬分开。</x:t>
        </x:is>
      </x:c>
      <x:c r="I68" s="8" t="n"/>
      <x:c r="J68" s="8" t="n"/>
    </x:row>
    <x:row r="69" ht="85" customHeight="1">
      <x:c r="A69" s="4" t="inlineStr">
        <x:is>
          <x:t xml:space="preserve">P056</x:t>
        </x:is>
      </x:c>
      <x:c r="B69" s="4" t="inlineStr">
        <x:is>
          <x:t xml:space="preserve">品牌内容</x:t>
        </x:is>
      </x:c>
      <x:c r="C69" s="4" t="inlineStr">
        <x:is>
          <x:t xml:space="preserve">Brand Story全新制作或整体重做</x:t>
        </x:is>
      </x:c>
      <x:c r="D69" s="4" t="inlineStr">
        <x:is>
          <x:t xml:space="preserve">品牌资料、目标、可用素材及参考内容。</x:t>
        </x:is>
      </x:c>
      <x:c r="E69" s="4" t="inlineStr">
        <x:is>
          <x:t xml:space="preserve">构思品牌故事、文案及图片需求；协调制作；设置卡片和链接；发布、绑定约定商品并核验。</x:t>
        </x:is>
      </x:c>
      <x:c r="F69" s="4" t="inlineStr">
        <x:is>
          <x:t xml:space="preserve">独立品牌故事内容完成；原版本可追溯，初始应用范围正确。</x:t>
        </x:is>
      </x:c>
      <x:c r="G69" s="4" t="inlineStr">
        <x:is>
          <x:t xml:space="preserve">一份独立品牌故事内容或整体重做方案。</x:t>
        </x:is>
      </x:c>
      <x:c r="H69" s="4" t="inlineStr">
        <x:is>
          <x:t xml:space="preserve">复用与原创部分需说明；同一内容覆盖多个ASIN共用。与产品A+有独立交付才分别列项。</x:t>
        </x:is>
      </x:c>
      <x:c r="I69" s="4" t="n"/>
      <x:c r="J69" s="4" t="n"/>
    </x:row>
    <x:row r="70" ht="85" customHeight="1">
      <x:c r="A70" s="8" t="inlineStr">
        <x:is>
          <x:t xml:space="preserve">P056</x:t>
        </x:is>
      </x:c>
      <x:c r="B70" s="8" t="inlineStr">
        <x:is>
          <x:t xml:space="preserve">品牌内容</x:t>
        </x:is>
      </x:c>
      <x:c r="C70" s="8" t="inlineStr">
        <x:is>
          <x:t xml:space="preserve">Brand Story局部修改或新增绑定</x:t>
        </x:is>
      </x:c>
      <x:c r="D70" s="8" t="inlineStr">
        <x:is>
          <x:t xml:space="preserve">已有品牌故事及明确修改或新增商品清单。</x:t>
        </x:is>
      </x:c>
      <x:c r="E70" s="8" t="inlineStr">
        <x:is>
          <x:t xml:space="preserve">按范围增删信息、调整图片或链接，或为新ASIN绑定已有内容；提交并核验。</x:t>
        </x:is>
      </x:c>
      <x:c r="F70" s="8" t="inlineStr">
        <x:is>
          <x:t xml:space="preserve">指定内容和关系更新完成，前后记录清楚。</x:t>
        </x:is>
      </x:c>
      <x:c r="G70" s="8" t="inlineStr">
        <x:is>
          <x:t xml:space="preserve">同份内容的一轮修改；新增绑定另列独立ASIN清单。</x:t>
        </x:is>
      </x:c>
      <x:c r="H70" s="8" t="inlineStr">
        <x:is>
          <x:t xml:space="preserve">区分局部修改、简单纠错及整体重做；原制作范围漏绑补绑不属于新任务。</x:t>
        </x:is>
      </x:c>
      <x:c r="I70" s="8" t="n"/>
      <x:c r="J70" s="8" t="n"/>
    </x:row>
    <x:row r="71" ht="85" customHeight="1">
      <x:c r="A71" s="4" t="inlineStr">
        <x:is>
          <x:t xml:space="preserve">P057</x:t>
        </x:is>
      </x:c>
      <x:c r="B71" s="4" t="inlineStr">
        <x:is>
          <x:t xml:space="preserve">订阅销售</x:t>
        </x:is>
      </x:c>
      <x:c r="C71" s="4" t="inlineStr">
        <x:is>
          <x:t xml:space="preserve">Subscribe &amp; Save设置与维护</x:t>
        </x:is>
      </x:c>
      <x:c r="D71" s="4" t="inlineStr">
        <x:is>
          <x:t xml:space="preserve">商品清单、订阅方案及确认后的优惠要求。</x:t>
        </x:is>
      </x:c>
      <x:c r="E71" s="4" t="inlineStr">
        <x:is>
          <x:t xml:space="preserve">核对可参与商品；加入或退出商品；设置或更新订阅优惠；核验状态和生效情况。</x:t>
        </x:is>
      </x:c>
      <x:c r="F71" s="4" t="inlineStr">
        <x:is>
          <x:t xml:space="preserve">指定方案正确应用，商品和折扣状态可核查。</x:t>
        </x:is>
      </x:c>
      <x:c r="G71" s="4" t="inlineStr">
        <x:is>
          <x:t xml:space="preserve">同站点、同一订阅方案的一批设置。</x:t>
        </x:is>
      </x:c>
      <x:c r="H71" s="4" t="inlineStr">
        <x:is>
          <x:t xml:space="preserve">平台自动变化不算人工操作；同一更新中包含的价格或促销动作不能重复列项。</x:t>
        </x:is>
      </x:c>
      <x:c r="I71" s="4" t="n"/>
      <x:c r="J71" s="4" t="n"/>
    </x:row>
    <x:row r="72" ht="85" customHeight="1">
      <x:c r="A72" s="8" t="inlineStr">
        <x:is>
          <x:t xml:space="preserve">P058</x:t>
        </x:is>
      </x:c>
      <x:c r="B72" s="8" t="inlineStr">
        <x:is>
          <x:t xml:space="preserve">组合销售</x:t>
        </x:is>
      </x:c>
      <x:c r="C72" s="8" t="inlineStr">
        <x:is>
          <x:t xml:space="preserve">Virtual Bundle创建或维护</x:t>
        </x:is>
      </x:c>
      <x:c r="D72" s="8" t="inlineStr">
        <x:is>
          <x:t xml:space="preserve">已确认的组合商品、价格及可用文案图片。</x:t>
        </x:is>
      </x:c>
      <x:c r="E72" s="8" t="inlineStr">
        <x:is>
          <x:t xml:space="preserve">核对后台可用资格；填入组合资料、图片及价格；创建或更新；处理报错并核验。</x:t>
        </x:is>
      </x:c>
      <x:c r="F72" s="8" t="inlineStr">
        <x:is>
          <x:t xml:space="preserve">独立组合正确创建或完成约定更新，组成商品和展示准确。</x:t>
        </x:is>
      </x:c>
      <x:c r="G72" s="8" t="inlineStr">
        <x:is>
          <x:t xml:space="preserve">一个独立虚拟组合的新建，或一轮维护。</x:t>
        </x:is>
      </x:c>
      <x:c r="H72" s="8" t="inlineStr">
        <x:is>
          <x:t xml:space="preserve">新建包含初始配置和现有资料填入，不重复算普通上架、图片上传；不包含实物重新包装。</x:t>
        </x:is>
      </x:c>
      <x:c r="I72" s="8" t="n"/>
      <x:c r="J72" s="8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16" customWidth="1"/>
    <x:col min="2" max="2" width="32" customWidth="1"/>
    <x:col min="3" max="3" width="14" customWidth="1"/>
    <x:col min="4" max="4" width="115" customWidth="1"/>
  </x:cols>
  <x:sheetData>
    <x:row r="2" ht="28" customHeight="1">
      <x:c r="A2" s="1" t="inlineStr">
        <x:is>
          <x:t xml:space="preserve">广告优化规则</x:t>
        </x:is>
      </x:c>
    </x:row>
    <x:row r="3" ht="23" customHeight="1">
      <x:c r="A3" s="2" t="inlineStr">
        <x:is>
          <x:t xml:space="preserve">适用于任务报酬P024-a至P024-f；同轮选一个最高档，受派/主动都×1，最高75元。</x:t>
        </x:is>
      </x:c>
    </x:row>
    <x:row r="4" ht="23" customHeight="1">
      <x:c r="A4" s="2" t="inlineStr">
        <x:is>
          <x:t xml:space="preserve">奖励有效分析与真实改善，不以操作次数或投放对象数量定高档。常规否定优化也可凭实际效果升级。</x:t>
        </x:is>
      </x:c>
    </x:row>
    <x:row r="5" ht="23" customHeight="1">
      <x:c r="A5" s="2" t="inlineStr">
        <x:is>
          <x:t xml:space="preserve">每周2次是有效调整频次上限，不是每周重领同一成果的额度；同一方案的持续验证不另起一轮。</x:t>
        </x:is>
      </x:c>
    </x:row>
    <x:row r="6" ht="23" customHeight="1">
      <x:c r="A6" s="2" t="inlineStr">
        <x:is>
          <x:t xml:space="preserve">高档门槛及观察口径在任务开始时确认；完整数据不足时保持高档待验证。</x:t>
        </x:is>
      </x:c>
    </x:row>
    <x:row r="7" ht="48" customHeight="1">
      <x:c r="A7" s="7" t="inlineStr">
        <x:is>
          <x:t xml:space="preserve">代码</x:t>
        </x:is>
      </x:c>
      <x:c r="B7" s="7" t="inlineStr">
        <x:is>
          <x:t xml:space="preserve">档位或规则</x:t>
        </x:is>
      </x:c>
      <x:c r="C7" s="7" t="inlineStr">
        <x:is>
          <x:t xml:space="preserve">金额（元）</x:t>
        </x:is>
      </x:c>
      <x:c r="D7" s="7" t="inlineStr">
        <x:is>
          <x:t xml:space="preserve">认定与执行要求</x:t>
        </x:is>
      </x:c>
    </x:row>
    <x:row r="8" ht="85" customHeight="1">
      <x:c r="A8" s="8" t="inlineStr">
        <x:is>
          <x:t xml:space="preserve">P024-a</x:t>
        </x:is>
      </x:c>
      <x:c r="B8" s="8" t="inlineStr">
        <x:is>
          <x:t xml:space="preserve">按明确指令调整</x:t>
        </x:is>
      </x:c>
      <x:c r="C8" s="8" t="n">
        <x:v>10</x:v>
      </x:c>
      <x:c r="D8" s="8" t="inlineStr">
        <x:is>
          <x:t xml:space="preserve">负责人已明确对象和具体动作，员工执行并核验。</x:t>
        </x:is>
      </x:c>
    </x:row>
    <x:row r="9" ht="85" customHeight="1">
      <x:c r="A9" s="4" t="inlineStr">
        <x:is>
          <x:t xml:space="preserve">P024-b</x:t>
        </x:is>
      </x:c>
      <x:c r="B9" s="4" t="inlineStr">
        <x:is>
          <x:t xml:space="preserve">常规减少无效花费</x:t>
        </x:is>
      </x:c>
      <x:c r="C9" s="4" t="n">
        <x:v>15</x:v>
      </x:c>
      <x:c r="D9" s="4" t="inlineStr">
        <x:is>
          <x:t xml:space="preserve">根据无效花费数据完成否定关键词/ASIN、暂停无效投放或降低Bid，并复查。</x:t>
        </x:is>
      </x:c>
    </x:row>
    <x:row r="10" ht="85" customHeight="1">
      <x:c r="A10" s="8" t="inlineStr">
        <x:is>
          <x:t xml:space="preserve">P024-c</x:t>
        </x:is>
      </x:c>
      <x:c r="B10" s="8" t="inlineStr">
        <x:is>
          <x:t xml:space="preserve">独立分析并实施优化</x:t>
        </x:is>
      </x:c>
      <x:c r="C10" s="8" t="n">
        <x:v>25</x:v>
      </x:c>
      <x:c r="D10" s="8" t="inlineStr">
        <x:is>
          <x:t xml:space="preserve">员工自行诊断问题、制定方案、实施并复盘；尚未证明明显改善，或合理测试未达预期。</x:t>
        </x:is>
      </x:c>
    </x:row>
    <x:row r="11" ht="85" customHeight="1">
      <x:c r="A11" s="4" t="inlineStr">
        <x:is>
          <x:t xml:space="preserve">P024-d</x:t>
        </x:is>
      </x:c>
      <x:c r="B11" s="4" t="inlineStr">
        <x:is>
          <x:t xml:space="preserve">有效改善广告效率</x:t>
        </x:is>
      </x:c>
      <x:c r="C11" s="4" t="n">
        <x:v>40</x:v>
      </x:c>
      <x:c r="D11" s="4" t="inlineStr">
        <x:is>
          <x:t xml:space="preserve">在预先约定的对比与观察口径下ACOS下降，订单及销售额未明显萎缩；不是主要靠砍掉有效流量实现。</x:t>
        </x:is>
      </x:c>
    </x:row>
    <x:row r="12" ht="85" customHeight="1">
      <x:c r="A12" s="8" t="inlineStr">
        <x:is>
          <x:t xml:space="preserve">P024-e</x:t>
        </x:is>
      </x:c>
      <x:c r="B12" s="8" t="inlineStr">
        <x:is>
          <x:t xml:space="preserve">有效扩大销售</x:t>
        </x:is>
      </x:c>
      <x:c r="C12" s="8" t="n">
        <x:v>50</x:v>
      </x:c>
      <x:c r="D12" s="8" t="inlineStr">
        <x:is>
          <x:t xml:space="preserve">通过调整Bid、增加关键词或商品投放等，使订单或销售额明显增长，ACOS维持在约定可接受范围；核对产品整体销售，排除主要为Campaign间订单转移。</x:t>
        </x:is>
      </x:c>
    </x:row>
    <x:row r="13" ht="85" customHeight="1">
      <x:c r="A13" s="4" t="inlineStr">
        <x:is>
          <x:t xml:space="preserve">P024-f</x:t>
        </x:is>
      </x:c>
      <x:c r="B13" s="4" t="inlineStr">
        <x:is>
          <x:t xml:space="preserve">持续、显著的改善</x:t>
        </x:is>
      </x:c>
      <x:c r="C13" s="4" t="n">
        <x:v>75</x:v>
      </x:c>
      <x:c r="D13" s="4" t="inlineStr">
        <x:is>
          <x:t xml:space="preserve">优化带来明显增量，效率或利润符合目标，并在后续约定观察期持续有效；有证据支持本次优化贡献。</x:t>
        </x:is>
      </x:c>
    </x:row>
    <x:row r="14" ht="85" customHeight="1">
      <x:c r="A14" s="8" t="inlineStr">
        <x:is>
          <x:t xml:space="preserve">R01</x:t>
        </x:is>
      </x:c>
      <x:c r="B14" s="8" t="inlineStr">
        <x:is>
          <x:t xml:space="preserve">来源与倍率</x:t>
        </x:is>
      </x:c>
      <x:c r="C14" s="8" t="n"/>
      <x:c r="D14" s="8" t="inlineStr">
        <x:is>
          <x:t xml:space="preserve">负责人安排与员工自主发起都按×1。广告优化总档位上限75元/同Campaign同轮，不再叠加主动倍率。</x:t>
        </x:is>
      </x:c>
    </x:row>
    <x:row r="15" ht="85" customHeight="1">
      <x:c r="A15" s="4" t="inlineStr">
        <x:is>
          <x:t xml:space="preserve">R02</x:t>
        </x:is>
      </x:c>
      <x:c r="B15" s="4" t="inlineStr">
        <x:is>
          <x:t xml:space="preserve">轮次与每周次数</x:t>
        </x:is>
      </x:c>
      <x:c r="C15" s="4" t="n"/>
      <x:c r="D15" s="4" t="inlineStr">
        <x:is>
          <x:t xml:space="preserve">同一问题/目标、同一方案及其后续验证使用同一轮次ID。每账户+站点+Campaign每自然周（周一至周日，固定账户报告时区）最多2次有效调整，跨人员/来源合并。第二次须有新的问题或复查数据依据；同方案分天执行不拆次数，跨周不自动新开轮。</x:t>
        </x:is>
      </x:c>
    </x:row>
    <x:row r="16" ht="85" customHeight="1">
      <x:c r="A16" s="8" t="inlineStr">
        <x:is>
          <x:t xml:space="preserve">R03</x:t>
        </x:is>
      </x:c>
      <x:c r="B16" s="8" t="inlineStr">
        <x:is>
          <x:t xml:space="preserve">最高档与补差</x:t>
        </x:is>
      </x:c>
      <x:c r="C16" s="8" t="n"/>
      <x:c r="D16" s="8" t="inlineStr">
        <x:is>
          <x:t xml:space="preserve">同Campaign同轮只取最高档。先结算25元，后达50元补25元；再达75元补25元。复盘和升级不占新调整次数，也不使同一成果重新计整档。重复执行、补做本人错误不新增金额。</x:t>
        </x:is>
      </x:c>
    </x:row>
    <x:row r="17" ht="85" customHeight="1">
      <x:c r="A17" s="4" t="inlineStr">
        <x:is>
          <x:t xml:space="preserve">R04</x:t>
        </x:is>
      </x:c>
      <x:c r="B17" s="4" t="inlineStr">
        <x:is>
          <x:t xml:space="preserve">开始时确定口径</x:t>
        </x:is>
      </x:c>
      <x:c r="C17" s="4" t="n"/>
      <x:c r="D17" s="4" t="inlineStr">
        <x:is>
          <x:t xml:space="preserve">记录基准期间、观察期间、订单/销售额、花费、ACOS；写清“明显增长”“未明显萎缩”、ACOS可接受范围以及75元的持续观察标准，由负责人确认后冻结。不同产品可用不同门槛，不事后挑有利窗口。</x:t>
        </x:is>
      </x:c>
    </x:row>
    <x:row r="18" ht="85" customHeight="1">
      <x:c r="A18" s="8" t="inlineStr">
        <x:is>
          <x:t xml:space="preserve">R05</x:t>
        </x:is>
      </x:c>
      <x:c r="B18" s="8" t="inlineStr">
        <x:is>
          <x:t xml:space="preserve">结果验收</x:t>
        </x:is>
      </x:c>
      <x:c r="C18" s="8" t="n"/>
      <x:c r="D18" s="8" t="inlineStr">
        <x:is>
          <x:t xml:space="preserve">保留调整前后同口径数据与Ads Change，核对归因延迟、数据完整性及样本是否足够；注明价格、促销、断货、季节、竞品等变化。数据不足则高档待验证，已完成的工作可按对应低档验收，不能凭一次偶然订单领取高档。</x:t>
        </x:is>
      </x:c>
    </x:row>
    <x:row r="19" ht="85" customHeight="1">
      <x:c r="A19" s="4" t="inlineStr">
        <x:is>
          <x:t xml:space="preserve">R06</x:t>
        </x:is>
      </x:c>
      <x:c r="B19" s="4" t="inlineStr">
        <x:is>
          <x:t xml:space="preserve">40/50/75元的判断</x:t>
        </x:is>
      </x:c>
      <x:c r="C19" s="4" t="n"/>
      <x:c r="D19" s="4" t="inlineStr">
        <x:is>
          <x:t xml:space="preserve">40元须效率改善且销售未明显萎缩；50元须有效增加订单或销售且ACOS可接受；75元须明显增量并持续满足效率或利润目标。不限Bid/关键词等动作类别，否定投放同样可凭结果升档。不能只以ACOS下降或广告销售额增长单一数字认定贡献。</x:t>
        </x:is>
      </x:c>
    </x:row>
    <x:row r="20" ht="85" customHeight="1">
      <x:c r="A20" s="8" t="inlineStr">
        <x:is>
          <x:t xml:space="preserve">R07</x:t>
        </x:is>
      </x:c>
      <x:c r="B20" s="8" t="inlineStr">
        <x:is>
          <x:t xml:space="preserve">新Campaign包含关系</x:t>
        </x:is>
      </x:c>
      <x:c r="C20" s="8" t="n"/>
      <x:c r="D20" s="8" t="inlineStr">
        <x:is>
          <x:t xml:space="preserve">独立创建任务仍用广告创建规则。若新Campaign属于同一优化方案，其创建和初始设置包含在整轮优化，不重复领创建报酬；既往同案已付创建金额含主动部分，从本轮最终金额扣除，只结非负差额，不追扣。核对产品整体销售，排除仅在Campaign间转移订单。</x:t>
        </x:is>
      </x:c>
    </x:row>
    <x:row r="21" ht="85" customHeight="1">
      <x:c r="A21" s="4" t="inlineStr">
        <x:is>
          <x:t xml:space="preserve">R08</x:t>
        </x:is>
      </x:c>
      <x:c r="B21" s="4" t="inlineStr">
        <x:is>
          <x:t xml:space="preserve">跨Campaign共用成果</x:t>
        </x:is>
      </x:c>
      <x:c r="C21" s="4" t="n"/>
      <x:c r="D21" s="4" t="inlineStr">
        <x:is>
          <x:t xml:space="preserve">同一方案涉及多个Campaign，只有各自有独立工作与独立效果证据才分别计高档。仅有产品整体增量、无法区分各Campaign贡献的，按一个合并案例取最高档总报酬并分配，不让各Campaign重复领取整份成果报酬。</x:t>
        </x:is>
      </x:c>
    </x:row>
    <x:row r="22" ht="85" customHeight="1">
      <x:c r="A22" s="8" t="inlineStr">
        <x:is>
          <x:t xml:space="preserve">R09</x:t>
        </x:is>
      </x:c>
      <x:c r="B22" s="8" t="inlineStr">
        <x:is>
          <x:t xml:space="preserve">成果奖金与多人合作</x:t>
        </x:is>
      </x:c>
      <x:c r="C22" s="8" t="n"/>
      <x:c r="D22" s="8" t="inlineStr">
        <x:is>
          <x:t xml:space="preserve">广告同一案例按累计总额升级：累计应付取广告任务档金额与已核定成果奖总额中的较高者，不相加；本次支付＝累计应付减同案全部历史已付金额的正差额。历史已付含创建、执行、优化及成果奖励。先领哪一项不影响最终总额。多人共享案例总额，不按人重复领取。</x:t>
        </x:is>
      </x:c>
    </x:row>
    <x:row r="23" ht="85" customHeight="1">
      <x:c r="A23" s="4" t="inlineStr">
        <x:is>
          <x:t xml:space="preserve">R10</x:t>
        </x:is>
      </x:c>
      <x:c r="B23" s="4" t="inlineStr">
        <x:is>
          <x:t xml:space="preserve">登记字段</x:t>
        </x:is>
      </x:c>
      <x:c r="C23" s="4" t="n"/>
      <x:c r="D23" s="4" t="inlineStr">
        <x:is>
          <x:t xml:space="preserve">账户、站点、Campaign ID、任务/案例ID、轮次ID、发起来源、执行人及分工、执行日期及时区、问题及方案、Ads Change、前后数据及观察门槛、实际结果、核定档位、累计已结算金额、本次补差、验收人和日期、关联成果奖励。 同案历史已付包含各类报酬与奖金，使用统一案例编号归集。</x:t>
        </x:is>
      </x:c>
    </x:row>
    <x:row r="24" ht="85" customHeight="1">
      <x:c r="A24" s="8" t="inlineStr">
        <x:is>
          <x:t xml:space="preserve">R11</x:t>
        </x:is>
      </x:c>
      <x:c r="B24" s="8" t="inlineStr">
        <x:is>
          <x:t xml:space="preserve">验收目标模板</x:t>
        </x:is>
      </x:c>
      <x:c r="C24" s="8" t="n"/>
      <x:c r="D24" s="8" t="inlineStr">
        <x:is>
          <x:t xml:space="preserve">执行前记录：案例ID、基准起止日、观察起止日、基准订单/销售额/花费/ACOS、目标订单或销售额、ACOS上限、允许销售下降范围、持续验证期、样本充分性判断及确认人。按产品填写，未确定门槛不直接核高档。</x:t>
        </x:is>
      </x:c>
    </x:row>
    <x:row r="25" ht="85" customHeight="1">
      <x:c r="A25" s="4" t="inlineStr">
        <x:is>
          <x:t xml:space="preserve">R12</x:t>
        </x:is>
      </x:c>
      <x:c r="B25" s="4" t="inlineStr">
        <x:is>
          <x:t xml:space="preserve">补差示例</x:t>
        </x:is>
      </x:c>
      <x:c r="C25" s="4" t="n"/>
      <x:c r="D25" s="4" t="inlineStr">
        <x:is>
          <x:t xml:space="preserve">已付75元，成果获批累计100元，补25元；再升级累计300元，补200元。若先付100元，后核定广告75元，不再付款。未达成果奖标准，仍按广告已验收任务档结算。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20" customWidth="1"/>
    <x:col min="2" max="2" width="75" customWidth="1"/>
    <x:col min="3" max="3" width="105" customWidth="1"/>
  </x:cols>
  <x:sheetData>
    <x:row r="2" ht="28" customHeight="1">
      <x:c r="A2" s="1" t="inlineStr">
        <x:is>
          <x:t xml:space="preserve">Listing异常合批规则</x:t>
        </x:is>
      </x:c>
    </x:row>
    <x:row r="3" ht="23" customHeight="1">
      <x:c r="A3" s="2" t="inlineStr">
        <x:is>
          <x:t xml:space="preserve">适用P025-a/P025-b；本页不改变Buy Box、变体维护及滞留库存的原计酬单位。</x:t>
        </x:is>
      </x:c>
    </x:row>
    <x:row r="4" ht="23" customHeight="1">
      <x:c r="A4" s="2" t="inlineStr">
        <x:is>
          <x:t xml:space="preserve">能共同处理的同原因ASIN只计一批；必须逐ASIN提交、跟进及核验的，在首个基础档上每增加一个加5元。</x:t>
        </x:is>
      </x:c>
    </x:row>
    <x:row r="5" ht="23" customHeight="1">
      <x:c r="A5" s="2" t="inlineStr">
        <x:is>
          <x:t xml:space="preserve">同一批只选已有依据10元或独立排查20元；系列名称不决定合批，实际原因、证据、方案与处理过程才是依据。</x:t>
        </x:is>
      </x:c>
    </x:row>
    <x:row r="6" ht="23" customHeight="1">
      <x:c r="A6" s="2" t="inlineStr">
        <x:is>
          <x:t xml:space="preserve">任务报酬L列为基础档主动金额示例；实际批次合计按本页核算后乘倍率，不能把L列当成每ASIN单价。</x:t>
        </x:is>
      </x:c>
    </x:row>
    <x:row r="7" ht="48" customHeight="1">
      <x:c r="A7" s="7" t="inlineStr">
        <x:is>
          <x:t xml:space="preserve">条目</x:t>
        </x:is>
      </x:c>
      <x:c r="B7" s="7" t="inlineStr">
        <x:is>
          <x:t xml:space="preserve">规则或场景</x:t>
        </x:is>
      </x:c>
      <x:c r="C7" s="7" t="inlineStr">
        <x:is>
          <x:t xml:space="preserve">计酬与认定</x:t>
        </x:is>
      </x:c>
    </x:row>
    <x:row r="8" ht="85" customHeight="1">
      <x:c r="A8" s="8" t="inlineStr">
        <x:is>
          <x:t xml:space="preserve">已有依据</x:t>
        </x:is>
      </x:c>
      <x:c r="B8" s="8" t="inlineStr">
        <x:is>
          <x:t xml:space="preserve">原因、证据及方案已明确，可共同处理一批ASIN</x:t>
        </x:is>
      </x:c>
      <x:c r="C8" s="8" t="inlineStr">
        <x:is>
          <x:t xml:space="preserve">10元/批；1个ASIN也按一批。</x:t>
        </x:is>
      </x:c>
    </x:row>
    <x:row r="9" ht="85" customHeight="1">
      <x:c r="A9" s="4" t="inlineStr">
        <x:is>
          <x:t xml:space="preserve">独立排查</x:t>
        </x:is>
      </x:c>
      <x:c r="B9" s="4" t="inlineStr">
        <x:is>
          <x:t xml:space="preserve">自行排查、核对资料、取证并形成方案，可共同处理一批ASIN</x:t>
        </x:is>
      </x:c>
      <x:c r="C9" s="4" t="inlineStr">
        <x:is>
          <x:t xml:space="preserve">20元/批；不按共用证据的ASIN数量重复领取20元。</x:t>
        </x:is>
      </x:c>
    </x:row>
    <x:row r="10" ht="85" customHeight="1">
      <x:c r="A10" s="8" t="inlineStr">
        <x:is>
          <x:t xml:space="preserve">必要分别处理</x:t>
        </x:is>
      </x:c>
      <x:c r="B10" s="8" t="inlineStr">
        <x:is>
          <x:t xml:space="preserve">同原因、排查及证据共用，但必须逐ASIN分别提交、跟进和核验</x:t>
        </x:is>
      </x:c>
      <x:c r="C10" s="8" t="inlineStr">
        <x:is>
          <x:t xml:space="preserve">N为实际逐个处理并验收的去重ASIN数，N≥1：基础报酬＝所选档位金额＋(N－1)×5元。无交付不计。</x:t>
        </x:is>
      </x:c>
    </x:row>
    <x:row r="11" ht="85" customHeight="1">
      <x:c r="A11" s="4" t="inlineStr">
        <x:is>
          <x:t xml:space="preserve">合批依据</x:t>
        </x:is>
      </x:c>
      <x:c r="B11" s="4" t="inlineStr">
        <x:is>
          <x:t xml:space="preserve">同站点、同原因、共用证据与处理方案的ASIN清单，关联统一问题批次ID</x:t>
        </x:is>
      </x:c>
      <x:c r="C11" s="4" t="inlineStr">
        <x:is>
          <x:t xml:space="preserve">不同系列可能合批；同系列可能属于不同原因。同次发现的同原因不因分人、分天或多Case自行拆批。</x:t>
        </x:is>
      </x:c>
    </x:row>
    <x:row r="12" ht="85" customHeight="1">
      <x:c r="A12" s="8" t="inlineStr">
        <x:is>
          <x:t xml:space="preserve">分别计问题</x:t>
        </x:is>
      </x:c>
      <x:c r="B12" s="8" t="inlineStr">
        <x:is>
          <x:t xml:space="preserve">原因或必要证据不同，确实需要分别排查处理</x:t>
        </x:is>
      </x:c>
      <x:c r="C12" s="8" t="inlineStr">
        <x:is>
          <x:t xml:space="preserve">分别建立独立问题批次，说明差异；仅文件名或ASIN编号不同不等于独立证据。</x:t>
        </x:is>
      </x:c>
    </x:row>
    <x:row r="13" ht="85" customHeight="1">
      <x:c r="A13" s="4" t="inlineStr">
        <x:is>
          <x:t xml:space="preserve">防重复</x:t>
        </x:is>
      </x:c>
      <x:c r="B13" s="4" t="inlineStr">
        <x:is>
          <x:t xml:space="preserve">能合并却主动拆Case；同ASIN重复开Case、催办、补交资料</x:t>
        </x:is>
      </x:c>
      <x:c r="C13" s="4" t="inlineStr">
        <x:is>
          <x:t xml:space="preserve">不增加金额。同ASIN多SKU只计一个；同批多人分配总报酬，不每人领完整档。</x:t>
        </x:is>
      </x:c>
    </x:row>
    <x:row r="14" ht="85" customHeight="1">
      <x:c r="A14" s="8" t="inlineStr">
        <x:is>
          <x:t xml:space="preserve">混合情况</x:t>
        </x:is>
      </x:c>
      <x:c r="B14" s="8" t="inlineStr">
        <x:is>
          <x:t xml:space="preserve">同一业务需求中只有部分ASIN能合并，其余因平台要求必须单独处理</x:t>
        </x:is>
      </x:c>
      <x:c r="C14" s="8" t="inlineStr">
        <x:is>
          <x:t xml:space="preserve">记录必须独立提交及核验的处理单元；基础档金额＋额外必要处理单元数×5元，共用排查不重复计费。</x:t>
        </x:is>
      </x:c>
    </x:row>
    <x:row r="15" ht="85" customHeight="1">
      <x:c r="A15" s="4" t="inlineStr">
        <x:is>
          <x:t xml:space="preserve">阶段与升级</x:t>
        </x:is>
      </x:c>
      <x:c r="B15" s="4" t="inlineStr">
        <x:is>
          <x:t xml:space="preserve">10元档实际补充独立排查，转20元档；或原批追加必要分别处理的ASIN</x:t>
        </x:is>
      </x:c>
      <x:c r="C15" s="4" t="inlineStr">
        <x:is>
          <x:t xml:space="preserve">重新计算同批累计应得总报酬，扣除同批已结算金额，仅补差额；跨月不重领基础档。</x:t>
        </x:is>
      </x:c>
    </x:row>
    <x:row r="16" ht="85" customHeight="1">
      <x:c r="A16" s="8" t="inlineStr">
        <x:is>
          <x:t xml:space="preserve">主动倍率</x:t>
        </x:is>
      </x:c>
      <x:c r="B16" s="8" t="inlineStr">
        <x:is>
          <x:t xml:space="preserve">符合主动认定时×1.5；受派×1</x:t>
        </x:is>
      </x:c>
      <x:c r="C16" s="8" t="inlineStr">
        <x:is>
          <x:t xml:space="preserve">实际金额＝(基础档＋必要逐项执行附加金额)×倍率；同批倍率沿用来源，不把附加操作重新认定主动。</x:t>
        </x:is>
      </x:c>
    </x:row>
    <x:row r="17" ht="85" customHeight="1">
      <x:c r="A17" s="4" t="inlineStr">
        <x:is>
          <x:t xml:space="preserve">验收及其他项目</x:t>
        </x:is>
      </x:c>
      <x:c r="B17" s="4" t="inlineStr">
        <x:is>
          <x:t xml:space="preserve">逐ASIN记录前后状态、适用证据、实际措施及结果；保留必须分别处理的要求或后台记录</x:t>
        </x:is>
      </x:c>
      <x:c r="C17" s="4" t="inlineStr">
        <x:is>
          <x:t xml:space="preserve">未解决须完整证据并经负责人确认阶段结案；仍处理中不自动结算。本人纠错不计；同一变体、库存或Buy Box修复成果不重复计酬。</x:t>
        </x:is>
      </x:c>
    </x:row>
    <x:row r="18" ht="85" customHeight="1">
      <x:c r="A18" s="8" t="inlineStr">
        <x:is>
          <x:t xml:space="preserve">示例1</x:t>
        </x:is>
      </x:c>
      <x:c r="B18" s="8" t="inlineStr">
        <x:is>
          <x:t xml:space="preserve">5个ASIN同因，独立排查后可共用一次Case处理</x:t>
        </x:is>
      </x:c>
      <x:c r="C18" s="8" t="inlineStr">
        <x:is>
          <x:t xml:space="preserve">受派20元；主动20×1.5＝30元。</x:t>
        </x:is>
      </x:c>
    </x:row>
    <x:row r="19" ht="85" customHeight="1">
      <x:c r="A19" s="4" t="inlineStr">
        <x:is>
          <x:t xml:space="preserve">示例2</x:t>
        </x:is>
      </x:c>
      <x:c r="B19" s="4" t="inlineStr">
        <x:is>
          <x:t xml:space="preserve">5个ASIN同因，独立排查共用，但必须逐ASIN处理</x:t>
        </x:is>
      </x:c>
      <x:c r="C19" s="4" t="inlineStr">
        <x:is>
          <x:t xml:space="preserve">受派20＋(5－1)×5＝40元；主动40×1.5＝60元。</x:t>
        </x:is>
      </x:c>
    </x:row>
    <x:row r="20" ht="85" customHeight="1">
      <x:c r="A20" s="8" t="inlineStr">
        <x:is>
          <x:t xml:space="preserve">示例3</x:t>
        </x:is>
      </x:c>
      <x:c r="B20" s="8" t="inlineStr">
        <x:is>
          <x:t xml:space="preserve">5个ASIN同因，已有证据，但必须逐ASIN处理</x:t>
        </x:is>
      </x:c>
      <x:c r="C20" s="8" t="inlineStr">
        <x:is>
          <x:t xml:space="preserve">受派10＋(5－1)×5＝30元；主动30×1.5＝45元。</x:t>
        </x:is>
      </x:c>
    </x:row>
    <x:row r="21" ht="85" customHeight="1">
      <x:c r="A21" s="4" t="inlineStr">
        <x:is>
          <x:t xml:space="preserve">示例4</x:t>
        </x:is>
      </x:c>
      <x:c r="B21" s="4" t="inlineStr">
        <x:is>
          <x:t xml:space="preserve">本可合并的5个ASIN自行拆成5个Case</x:t>
        </x:is>
      </x:c>
      <x:c r="C21" s="4" t="inlineStr">
        <x:is>
          <x:t xml:space="preserve">仍按一批：已有依据10元，独立排查20元；不能按Case数增加。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16" customWidth="1"/>
    <x:col min="2" max="2" width="30" customWidth="1"/>
    <x:col min="3" max="3" width="15" customWidth="1"/>
    <x:col min="4" max="4" width="65" customWidth="1"/>
    <x:col min="5" max="5" width="65" customWidth="1"/>
    <x:col min="6" max="6" width="65" customWidth="1"/>
  </x:cols>
  <x:sheetData>
    <x:row r="2" ht="28" customHeight="1">
      <x:c r="A2" s="1" t="inlineStr">
        <x:is>
          <x:t xml:space="preserve">临时任务金额档位</x:t>
        </x:is>
      </x:c>
    </x:row>
    <x:row r="3" ht="23" customHeight="1">
      <x:c r="A3" s="2" t="inlineStr">
        <x:is>
          <x:t xml:space="preserve">日常运营5—25元；P044—P051固定50元。8及75元在现有任务中保留给广告专项，不能套到开发报酬析上。</x:t>
        </x:is>
      </x:c>
    </x:row>
    <x:row r="4" ht="23" customHeight="1">
      <x:c r="A4" s="2" t="inlineStr">
        <x:is>
          <x:t xml:space="preserve">先定范围和计量单位，再选择最接近的档位；需要升档时记录具体新增工作及交付。</x:t>
        </x:is>
      </x:c>
    </x:row>
    <x:row r="5" ht="23" customHeight="1">
      <x:c r="A5" s="2" t="inlineStr">
        <x:is>
          <x:t xml:space="preserve">这些金额是可讨论的相对权重，不代表既有金额；本版未引入月度上限。</x:t>
        </x:is>
      </x:c>
    </x:row>
    <x:row r="6" ht="23" customHeight="1">
      <x:c r="A6" s="2" t="inlineStr">
        <x:is>
          <x:t xml:space="preserve">高档任务要求更完整的分析或验证；低档任务也必须正确交付，不能以降低质量换取数量。</x:t>
        </x:is>
      </x:c>
    </x:row>
    <x:row r="7" ht="48" customHeight="1">
      <x:c r="A7" s="7" t="inlineStr">
        <x:is>
          <x:t xml:space="preserve">类型/代码</x:t>
        </x:is>
      </x:c>
      <x:c r="B7" s="7" t="inlineStr">
        <x:is>
          <x:t xml:space="preserve">档位或任务</x:t>
        </x:is>
      </x:c>
      <x:c r="C7" s="7" t="inlineStr">
        <x:is>
          <x:t xml:space="preserve">金额（元）</x:t>
        </x:is>
      </x:c>
      <x:c r="D7" s="7" t="inlineStr">
        <x:is>
          <x:t xml:space="preserve">适用范围</x:t>
        </x:is>
      </x:c>
      <x:c r="E7" s="7" t="inlineStr">
        <x:is>
          <x:t xml:space="preserve">示例或档位变化</x:t>
        </x:is>
      </x:c>
      <x:c r="F7" s="7" t="inlineStr">
        <x:is>
          <x:t xml:space="preserve">验收与边界</x:t>
        </x:is>
      </x:c>
    </x:row>
    <x:row r="8" ht="85" customHeight="1">
      <x:c r="A8" s="8" t="inlineStr">
        <x:is>
          <x:t xml:space="preserve">5元</x:t>
        </x:is>
      </x:c>
      <x:c r="B8" s="8" t="inlineStr">
        <x:is>
          <x:t xml:space="preserve">简单例行操作</x:t>
        </x:is>
      </x:c>
      <x:c r="C8" s="8" t="n">
        <x:v>5</x:v>
      </x:c>
      <x:c r="D8" s="8" t="inlineStr">
        <x:is>
          <x:t xml:space="preserve">内容、对应关系和步骤均明确，只有少量重复操作及核验。</x:t>
        </x:is>
      </x:c>
      <x:c r="E8" s="8" t="inlineStr">
        <x:is>
          <x:t xml:space="preserve">已有A+新增绑定；简单视频信息修改；Category Report按周下载。</x:t>
        </x:is>
      </x:c>
      <x:c r="F8" s="8" t="inlineStr">
        <x:is>
          <x:t xml:space="preserve">按约定单位验收；周度事项不拆成每天计酬。</x:t>
        </x:is>
      </x:c>
    </x:row>
    <x:row r="9" ht="85" customHeight="1">
      <x:c r="A9" s="4" t="inlineStr">
        <x:is>
          <x:t xml:space="preserve">10元</x:t>
        </x:is>
      </x:c>
      <x:c r="B9" s="4" t="inlineStr">
        <x:is>
          <x:t xml:space="preserve">标准执行</x:t>
        </x:is>
      </x:c>
      <x:c r="C9" s="4" t="n">
        <x:v>10</x:v>
      </x:c>
      <x:c r="D9" s="4" t="inlineStr">
        <x:is>
          <x:t xml:space="preserve">资料和指令齐全，依既定步骤操作并核验。</x:t>
        </x:is>
      </x:c>
      <x:c r="E9" s="4" t="inlineStr">
        <x:is>
          <x:t xml:space="preserve">已有图片上传；按指定要求批量更新价格。</x:t>
        </x:is>
      </x:c>
      <x:c r="F9" s="4" t="inlineStr">
        <x:is>
          <x:t xml:space="preserve">正确完成指定交付；不要求原创方案。</x:t>
        </x:is>
      </x:c>
    </x:row>
    <x:row r="10" ht="85" customHeight="1">
      <x:c r="A10" s="8" t="inlineStr">
        <x:is>
          <x:t xml:space="preserve">15元</x:t>
        </x:is>
      </x:c>
      <x:c r="B10" s="8" t="inlineStr">
        <x:is>
          <x:t xml:space="preserve">执行并核对</x:t>
        </x:is>
      </x:c>
      <x:c r="C10" s="8" t="n">
        <x:v>15</x:v>
      </x:c>
      <x:c r="D10" s="8" t="inlineStr">
        <x:is>
          <x:t xml:space="preserve">以标准流程为主，需核对参数、资料或完成常规反馈处理。</x:t>
        </x:is>
      </x:c>
      <x:c r="E10" s="8" t="inlineStr">
        <x:is>
          <x:t xml:space="preserve">创建Coupon/Promotion；已有原因与证据的Buy Box处理。</x:t>
        </x:is>
      </x:c>
      <x:c r="F10" s="8" t="inlineStr">
        <x:is>
          <x:t xml:space="preserve">留下核对结果和完成记录；Case次数不是金额依据。</x:t>
        </x:is>
      </x:c>
    </x:row>
    <x:row r="11" ht="85" customHeight="1">
      <x:c r="A11" s="4" t="inlineStr">
        <x:is>
          <x:t xml:space="preserve">20元</x:t>
        </x:is>
      </x:c>
      <x:c r="B11" s="4" t="inlineStr">
        <x:is>
          <x:t xml:space="preserve">协调与整理</x:t>
        </x:is>
      </x:c>
      <x:c r="C11" s="4" t="n">
        <x:v>20</x:v>
      </x:c>
      <x:c r="D11" s="4" t="inlineStr">
        <x:is>
          <x:t xml:space="preserve">本人承担多个交接节点，或整理数据后作有限判断；不要求系统策划。</x:t>
        </x:is>
      </x:c>
      <x:c r="E11" s="4" t="inlineStr">
        <x:is>
          <x:t xml:space="preserve">备货计划至收图协调；单关键词市场占有率统计及竞品检查。</x:t>
        </x:is>
      </x:c>
      <x:c r="F11" s="4" t="inlineStr">
        <x:is>
          <x:t xml:space="preserve">交接闭环或统计准确，说明实际判断和问题处理。</x:t>
        </x:is>
      </x:c>
    </x:row>
    <x:row r="12" ht="85" customHeight="1">
      <x:c r="A12" s="8" t="inlineStr">
        <x:is>
          <x:t xml:space="preserve">25元</x:t>
        </x:is>
      </x:c>
      <x:c r="B12" s="8" t="inlineStr">
        <x:is>
          <x:t xml:space="preserve">完整运营交付</x:t>
        </x:is>
      </x:c>
      <x:c r="C12" s="8" t="n">
        <x:v>25</x:v>
      </x:c>
      <x:c r="D12" s="8" t="inlineStr">
        <x:is>
          <x:t xml:space="preserve">较完整执行流程、独立排查取证或全新内容制作。</x:t>
        </x:is>
      </x:c>
      <x:c r="E12" s="8" t="inlineStr">
        <x:is>
          <x:t xml:space="preserve">标准Listing上架；A+全新制作；变体拆分重组；异常独立取证。</x:t>
        </x:is>
      </x:c>
      <x:c r="F12" s="8" t="inlineStr">
        <x:is>
          <x:t xml:space="preserve">已有内容经Skill改写标题/五点/描述各10元，不套本档。</x:t>
        </x:is>
      </x:c>
    </x:row>
    <x:row r="13" ht="85" customHeight="1">
      <x:c r="A13" s="4" t="inlineStr">
        <x:is>
          <x:t xml:space="preserve">40元</x:t>
        </x:is>
      </x:c>
      <x:c r="B13" s="4" t="inlineStr">
        <x:is>
          <x:t xml:space="preserve">广告效率改善档</x:t>
        </x:is>
      </x:c>
      <x:c r="C13" s="4" t="n">
        <x:v>40</x:v>
      </x:c>
      <x:c r="D13" s="4" t="inlineStr">
        <x:is>
          <x:t xml:space="preserve">现有已列任务用于广告效率改善，并按广告专项验证。</x:t>
        </x:is>
      </x:c>
      <x:c r="E13" s="4" t="inlineStr">
        <x:is>
          <x:t xml:space="preserve">ACOS下降且订单、销售额未明显萎缩。</x:t>
        </x:is>
      </x:c>
      <x:c r="F13" s="4" t="inlineStr">
        <x:is>
          <x:t xml:space="preserve">P044—P051不使用40元档，均固定50元；未列临时事项先明确规则。</x:t>
        </x:is>
      </x:c>
    </x:row>
    <x:row r="14" ht="85" customHeight="1">
      <x:c r="A14" s="8" t="inlineStr">
        <x:is>
          <x:t xml:space="preserve">50元</x:t>
        </x:is>
      </x:c>
      <x:c r="B14" s="8" t="inlineStr">
        <x:is>
          <x:t xml:space="preserve">固定开发及分析交付</x:t>
        </x:is>
      </x:c>
      <x:c r="C14" s="8" t="n">
        <x:v>50</x:v>
      </x:c>
      <x:c r="D14" s="8" t="inlineStr">
        <x:is>
          <x:t xml:space="preserve">P044—P051每项固定50元；按各自计量单位和完整交付验收。</x:t>
        </x:is>
      </x:c>
      <x:c r="E14" s="8" t="inlineStr">
        <x:is>
          <x:t xml:space="preserve">市场调研、找厂、样品验证、资料核实、主辅图策划、视频字幕、利润分析、活动复盘。</x:t>
        </x:is>
      </x:c>
      <x:c r="F14" s="8" t="inlineStr">
        <x:is>
          <x:t xml:space="preserve">不再分难度高低；系列共用成果只计一次。广告50元另按有效扩大销售验收。</x:t>
        </x:is>
      </x:c>
    </x:row>
    <x:row r="15" ht="85" customHeight="1">
      <x:c r="A15" s="4" t="inlineStr">
        <x:is>
          <x:t xml:space="preserve">75元</x:t>
        </x:is>
      </x:c>
      <x:c r="B15" s="4" t="inlineStr">
        <x:is>
          <x:t xml:space="preserve">广告持续显著改善档</x:t>
        </x:is>
      </x:c>
      <x:c r="C15" s="4" t="n">
        <x:v>75</x:v>
      </x:c>
      <x:c r="D15" s="4" t="inlineStr">
        <x:is>
          <x:t xml:space="preserve">仅保留广告专项中持续显著改善的75元标准。</x:t>
        </x:is>
      </x:c>
      <x:c r="E15" s="4" t="inlineStr">
        <x:is>
          <x:t xml:space="preserve">明显增量且持续满足效率或利润目标，有实际贡献证据。</x:t>
        </x:is>
      </x:c>
      <x:c r="F15" s="4" t="inlineStr">
        <x:is>
          <x:t xml:space="preserve">新品开发及经营分析不使用75元；广告×1且同轮只取最高档。</x:t>
        </x:is>
      </x:c>
    </x:row>
    <x:row r="16" ht="85" customHeight="1">
      <x:c r="A16" s="8" t="inlineStr">
        <x:is>
          <x:t xml:space="preserve">规则</x:t>
        </x:is>
      </x:c>
      <x:c r="B16" s="8" t="inlineStr">
        <x:is>
          <x:t xml:space="preserve">单档选择</x:t>
        </x:is>
      </x:c>
      <x:c r="C16" s="8" t="n"/>
      <x:c r="D16" s="8" t="inlineStr">
        <x:is>
          <x:t xml:space="preserve">5、10、15、20、25、40、50、75元为完整金额档位，只取一档。</x:t>
        </x:is>
      </x:c>
      <x:c r="E16" s="8" t="inlineStr">
        <x:is>
          <x:t xml:space="preserve">例如基础25元，符合40元条件，整项计40元。</x:t>
        </x:is>
      </x:c>
      <x:c r="F16" s="8" t="inlineStr">
        <x:is>
          <x:t xml:space="preserve">不把25元和40元相加，也不乘难度系数；主动倍率按对应规则。</x:t>
        </x:is>
      </x:c>
    </x:row>
    <x:row r="17" ht="85" customHeight="1">
      <x:c r="A17" s="4" t="inlineStr">
        <x:is>
          <x:t xml:space="preserve">规则</x:t>
        </x:is>
      </x:c>
      <x:c r="B17" s="4" t="inlineStr">
        <x:is>
          <x:t xml:space="preserve">独立交付与系列共用</x:t>
        </x:is>
      </x:c>
      <x:c r="C17" s="4" t="n"/>
      <x:c r="D17" s="4" t="inlineStr">
        <x:is>
          <x:t xml:space="preserve">同一成果只计一次；按项目、批次、系列或份数确定真实单位。</x:t>
        </x:is>
      </x:c>
      <x:c r="E17" s="4" t="inlineStr">
        <x:is>
          <x:t xml:space="preserve">同系列仅参数不同，共用调研、厂家和策划不得每SKU领取全套开发报酬。</x:t>
        </x:is>
      </x:c>
      <x:c r="F17" s="4" t="inlineStr">
        <x:is>
          <x:t xml:space="preserve">确有不同调研或验证工作时，先明确新增独立范围再定价。</x:t>
        </x:is>
      </x:c>
    </x:row>
    <x:row r="18" ht="85" customHeight="1">
      <x:c r="A18" s="8" t="inlineStr">
        <x:is>
          <x:t xml:space="preserve">规则</x:t>
        </x:is>
      </x:c>
      <x:c r="B18" s="8" t="inlineStr">
        <x:is>
          <x:t xml:space="preserve">A+策划与制作及版本</x:t>
        </x:is>
      </x:c>
      <x:c r="C18" s="8" t="n"/>
      <x:c r="D18" s="8" t="inlineStr">
        <x:is>
          <x:t xml:space="preserve">全新/完全重做25元；复用模板15元；局部修改10元；已有内容新增绑定5元/SKU。</x:t>
        </x:is>
      </x:c>
      <x:c r="E18" s="8" t="inlineStr">
        <x:is>
          <x:t xml:space="preserve">完全重做：保留旧A+、另建新A+，记录新旧内容ID、重做原因及实质变化；首次创建标明无旧版。局部修改：原内容上改，保存修改前记录。模板适配：关联来源并说明适配部分。</x:t>
        </x:is>
      </x:c>
      <x:c r="F18" s="8" t="inlineStr">
        <x:is>
          <x:t xml:space="preserve">新版本通过后核验目标ASIN已应用，完成约定复盘；旧版仅留档、不要求继续应用。新建ID不自动算完全重做，同份同轮制作档互斥，已含首次绑定。</x:t>
        </x:is>
      </x:c>
    </x:row>
    <x:row r="19" ht="85" customHeight="1">
      <x:c r="A19" s="4" t="inlineStr">
        <x:is>
          <x:t xml:space="preserve">规则</x:t>
        </x:is>
      </x:c>
      <x:c r="B19" s="4" t="inlineStr">
        <x:is>
          <x:t xml:space="preserve">来源与责任</x:t>
        </x:is>
      </x:c>
      <x:c r="C19" s="4" t="n"/>
      <x:c r="D19" s="4" t="inlineStr">
        <x:is>
          <x:t xml:space="preserve">相同工作适用相同基础档；主动执行按“主动改善评价”乘对应倍率，未列项目×1。</x:t>
        </x:is>
      </x:c>
      <x:c r="E19" s="4" t="inlineStr">
        <x:is>
          <x:t xml:space="preserve">本人错误纠正、漏做补做和重复提交不新增报酬；有证据的外部变更按新任务。</x:t>
        </x:is>
      </x:c>
      <x:c r="F19" s="4" t="inlineStr">
        <x:is>
          <x:t xml:space="preserve">有效调研得出不开发结论也可计酬；尚未完成的报告不直接领取完整阶段报酬。</x:t>
        </x:is>
      </x:c>
    </x:row>
    <x:row r="20" ht="85" customHeight="1">
      <x:c r="A20" s="8" t="inlineStr">
        <x:is>
          <x:t xml:space="preserve">规则</x:t>
        </x:is>
      </x:c>
      <x:c r="B20" s="8" t="inlineStr">
        <x:is>
          <x:t xml:space="preserve">临时任务如何选档</x:t>
        </x:is>
      </x:c>
      <x:c r="C20" s="8" t="n"/>
      <x:c r="D20" s="8" t="inlineStr">
        <x:is>
          <x:t xml:space="preserve">派单写明已有资料、实际步骤、交付结果和单位。已有项目优先按固定规则计。</x:t>
        </x:is>
      </x:c>
      <x:c r="E20" s="8" t="inlineStr">
        <x:is>
          <x:t xml:space="preserve">日常运营5—25元；开发及经营分析完整独立交付50元；广告按专项。其他未列事项先补规则。</x:t>
        </x:is>
      </x:c>
      <x:c r="F20" s="8" t="inlineStr">
        <x:is>
          <x:t xml:space="preserve">长期事项仅按真正独立可验收阶段登记；不人为拆碎成果，不用难度系数扩大固定50元。</x:t>
        </x:is>
      </x:c>
    </x:row>
    <x:row r="21" ht="85" customHeight="1">
      <x:c r="A21" s="4" t="inlineStr">
        <x:is>
          <x:t xml:space="preserve">T01</x:t>
        </x:is>
      </x:c>
      <x:c r="B21" s="4" t="inlineStr">
        <x:is>
          <x:t xml:space="preserve">销量上升/下降分析</x:t>
        </x:is>
      </x:c>
      <x:c r="C21" s="4" t="n">
        <x:v>50</x:v>
      </x:c>
      <x:c r="D21" s="4" t="inlineStr">
        <x:is>
          <x:t xml:space="preserve">完整分析曝光、广告、价格、评价、断货及竞品等相关因素，给出证据及建议。</x:t>
        </x:is>
      </x:c>
      <x:c r="E21" s="4" t="inlineStr">
        <x:is>
          <x:t xml:space="preserve">经营分析完整交付固定50元，不再设置75元或不同难度档。</x:t>
        </x:is>
      </x:c>
      <x:c r="F21" s="4" t="inlineStr">
        <x:is>
          <x:t xml:space="preserve">只分析有证据的相关项；后续优化另有独立交付才计，不能重复分析报酬。</x:t>
        </x:is>
      </x:c>
    </x:row>
    <x:row r="22" ht="85" customHeight="1">
      <x:c r="A22" s="8" t="inlineStr">
        <x:is>
          <x:t xml:space="preserve">T02</x:t>
        </x:is>
      </x:c>
      <x:c r="B22" s="8" t="inlineStr">
        <x:is>
          <x:t xml:space="preserve">三源核对与修正</x:t>
        </x:is>
      </x:c>
      <x:c r="C22" s="8" t="n"/>
      <x:c r="D22" s="8" t="inlineStr">
        <x:is>
          <x:t xml:space="preserve">待补充三源是什么、范围及是否修改后台。</x:t>
        </x:is>
      </x:c>
      <x:c r="E22" s="8" t="inlineStr">
        <x:is>
          <x:t xml:space="preserve">常规资料核对修正按5—25元；如属P047额外开发资料核实，按该项完整交付固定50元，不能重复领取。</x:t>
        </x:is>
      </x:c>
      <x:c r="F22" s="8" t="inlineStr">
        <x:is>
          <x:t xml:space="preserve">范围未明确，不直接定固定价。</x:t>
        </x:is>
      </x:c>
    </x:row>
    <x:row r="23" ht="85" customHeight="1">
      <x:c r="A23" s="4" t="inlineStr">
        <x:is>
          <x:t xml:space="preserve">T03</x:t>
        </x:is>
      </x:c>
      <x:c r="B23" s="4" t="inlineStr">
        <x:is>
          <x:t xml:space="preserve">清洗、转换或导入</x:t>
        </x:is>
      </x:c>
      <x:c r="C23" s="4" t="n">
        <x:v>15</x:v>
      </x:c>
      <x:c r="D23" s="4" t="inlineStr">
        <x:is>
          <x:t xml:space="preserve">按明确字段规则处理异常并交付可用文件。</x:t>
        </x:is>
      </x:c>
      <x:c r="E23" s="4" t="inlineStr">
        <x:is>
          <x:t xml:space="preserve">10元：直接套模板；25元：需设计并核验对象匹配或转换规则。</x:t>
        </x:is>
      </x:c>
      <x:c r="F23" s="4" t="inlineStr">
        <x:is>
          <x:t xml:space="preserve">资料清洗本身不自动等于数据分析，不按自动处理记录数提高档位。</x:t>
        </x:is>
      </x:c>
    </x:row>
    <x:row r="24" ht="85" customHeight="1">
      <x:c r="A24" s="8" t="inlineStr">
        <x:is>
          <x:t xml:space="preserve">T04</x:t>
        </x:is>
      </x:c>
      <x:c r="B24" s="8" t="inlineStr">
        <x:is>
          <x:t xml:space="preserve">按指定内容批量更新</x:t>
        </x:is>
      </x:c>
      <x:c r="C24" s="8" t="n">
        <x:v>10</x:v>
      </x:c>
      <x:c r="D24" s="8" t="inlineStr">
        <x:is>
          <x:t xml:space="preserve">资料齐全，完成同批同目的更新及核验。</x:t>
        </x:is>
      </x:c>
      <x:c r="E24" s="8" t="inlineStr">
        <x:is>
          <x:t xml:space="preserve">15元：程序不支持须逐项手动处理；25元：需解决资料与对象映射问题。</x:t>
        </x:is>
      </x:c>
      <x:c r="F24" s="8" t="inlineStr">
        <x:is>
          <x:t xml:space="preserve">已有具体项目覆盖的直接使用该项目，不新设重复任务。</x:t>
        </x:is>
      </x:c>
    </x:row>
    <x:row r="25" ht="85" customHeight="1">
      <x:c r="A25" s="4" t="inlineStr">
        <x:is>
          <x:t xml:space="preserve">T05</x:t>
        </x:is>
      </x:c>
      <x:c r="B25" s="4" t="inlineStr">
        <x:is>
          <x:t xml:space="preserve">临时协调事项</x:t>
        </x:is>
      </x:c>
      <x:c r="C25" s="4" t="n">
        <x:v>20</x:v>
      </x:c>
      <x:c r="D25" s="4" t="inlineStr">
        <x:is>
          <x:t xml:space="preserve">负责多个交接节点并完成约定目标。</x:t>
        </x:is>
      </x:c>
      <x:c r="E25" s="4" t="inlineStr">
        <x:is>
          <x:t xml:space="preserve">10元：简单转交；25元：需解决实际多方冲突。</x:t>
        </x:is>
      </x:c>
      <x:c r="F25" s="4" t="inlineStr">
        <x:is>
          <x:t xml:space="preserve">不按催办次数或等待天数加价。</x:t>
        </x:is>
      </x:c>
    </x:row>
    <x:row r="26" ht="85" customHeight="1">
      <x:c r="A26" s="8" t="inlineStr">
        <x:is>
          <x:t xml:space="preserve">T06</x:t>
        </x:is>
      </x:c>
      <x:c r="B26" s="8" t="inlineStr">
        <x:is>
          <x:t xml:space="preserve">工具或功能开发</x:t>
        </x:is>
      </x:c>
      <x:c r="C26" s="8" t="n"/>
      <x:c r="D26" s="8" t="inlineStr">
        <x:is>
          <x:t xml:space="preserve">先明确功能、环境、输入输出与验收场景。</x:t>
        </x:is>
      </x:c>
      <x:c r="E26" s="8" t="inlineStr">
        <x:is>
          <x:t xml:space="preserve">当前不直接套40/50/75元；不属于现有运营或新品开发范围时另行确定规则。</x:t>
        </x:is>
      </x:c>
      <x:c r="F26" s="8" t="inlineStr">
        <x:is>
          <x:t xml:space="preserve">不能因名字包含“开发”就自动使用新品开发高档。</x:t>
        </x:is>
      </x:c>
    </x:row>
    <x:row r="27" ht="85" customHeight="1">
      <x:c r="A27" s="4" t="inlineStr">
        <x:is>
          <x:t xml:space="preserve">T07</x:t>
        </x:is>
      </x:c>
      <x:c r="B27" s="4" t="inlineStr">
        <x:is>
          <x:t xml:space="preserve">OA“图片制作”</x:t>
        </x:is>
      </x:c>
      <x:c r="C27" s="4" t="n"/>
      <x:c r="D27" s="4" t="inlineStr">
        <x:is>
          <x:t xml:space="preserve">先明确是上传、构思、设计修图还是实际拍摄。</x:t>
        </x:is>
      </x:c>
      <x:c r="E27" s="4" t="inlineStr">
        <x:is>
          <x:t xml:space="preserve">已有图片上传10元；运营内容制作5—25元；新品开发独立主辅图策划可按50元。</x:t>
        </x:is>
      </x:c>
      <x:c r="F27" s="4" t="inlineStr">
        <x:is>
          <x:t xml:space="preserve">实际设计拍摄职责需说明，不能仅按任务标题定价。</x:t>
        </x:is>
      </x:c>
    </x:row>
    <x:row r="28" ht="85" customHeight="1">
      <x:c r="A28" s="8" t="inlineStr">
        <x:is>
          <x:t xml:space="preserve">T08</x:t>
        </x:is>
      </x:c>
      <x:c r="B28" s="8" t="inlineStr">
        <x:is>
          <x:t xml:space="preserve">其他临时事项</x:t>
        </x:is>
      </x:c>
      <x:c r="C28" s="8" t="n"/>
      <x:c r="D28" s="8" t="inlineStr">
        <x:is>
          <x:t xml:space="preserve">填写已有资料、步骤、判断难点、交付结果及计量单位。</x:t>
        </x:is>
      </x:c>
      <x:c r="E28" s="8" t="inlineStr">
        <x:is>
          <x:t xml:space="preserve">按上方八档选择一个完整档位。</x:t>
        </x:is>
      </x:c>
      <x:c r="F28" s="8" t="inlineStr">
        <x:is>
          <x:t xml:space="preserve">定价理由应说明比相邻低档多了什么实际工作。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baseColWidth="8" defaultRowHeight="15"/>
  <x:cols>
    <x:col min="1" max="1" width="30" customWidth="1"/>
    <x:col min="2" max="2" width="130" customWidth="1"/>
  </x:cols>
  <x:sheetData>
    <x:row r="2" ht="28" customHeight="1">
      <x:c r="A2" s="1" t="inlineStr">
        <x:is>
          <x:t xml:space="preserve">优化登记与复盘规则</x:t>
        </x:is>
      </x:c>
    </x:row>
    <x:row r="3" ht="23" customHeight="1">
      <x:c r="A3" s="2" t="inlineStr">
        <x:is>
          <x:t xml:space="preserve">按直接金额保留复盘、资料版本和责任纠错规则。</x:t>
        </x:is>
      </x:c>
    </x:row>
    <x:row r="4" ht="23" customHeight="1">
      <x:c r="A4" s="2" t="inlineStr">
        <x:is>
          <x:t xml:space="preserve">首次定稿/发布与已有内容优化按各自交付验收，不能把所有任务都强制等待效果。</x:t>
        </x:is>
      </x:c>
    </x:row>
    <x:row r="5" ht="23" customHeight="1">
      <x:c r="A5" s="2" t="inlineStr">
        <x:is>
          <x:t xml:space="preserve">普通内容复盘沿用原试行14天；数据不足记录理由及新日期，不能仅靠等待满天数验收。</x:t>
        </x:is>
      </x:c>
    </x:row>
    <x:row r="6" ht="23" customHeight="1">
      <x:c r="A6" s="2" t="inlineStr">
        <x:is>
          <x:t xml:space="preserve">同一任务在OA和其他入口共用结算编号；不同月份或人员不解除去重。</x:t>
        </x:is>
      </x:c>
    </x:row>
    <x:row r="7" ht="48" customHeight="1">
      <x:c r="A7" s="7" t="inlineStr">
        <x:is>
          <x:t xml:space="preserve">规则</x:t>
        </x:is>
      </x:c>
      <x:c r="B7" s="7" t="inlineStr">
        <x:is>
          <x:t xml:space="preserve">执行与验收要求</x:t>
        </x:is>
      </x:c>
    </x:row>
    <x:row r="8" ht="85" customHeight="1">
      <x:c r="A8" s="8" t="inlineStr">
        <x:is>
          <x:t xml:space="preserve">适用范围</x:t>
        </x:is>
      </x:c>
      <x:c r="B8" s="8" t="inlineStr">
        <x:is>
          <x:t xml:space="preserve">适用于已有Listing标题、五点、描述、Generic Keywords及A+等内容的实质优化。新品首次文案编写按对应编写项目验收可用定稿，不强制等待上线效果复盘；首次A+制作完成发布及应用核验后验收。首次内容交付后继续修订原稿不自动成为新优化任务。</x:t>
        </x:is>
      </x:c>
    </x:row>
    <x:row r="9" ht="85" customHeight="1">
      <x:c r="A9" s="4" t="inlineStr">
        <x:is>
          <x:t xml:space="preserve">优化前登记</x:t>
        </x:is>
      </x:c>
      <x:c r="B9" s="4" t="inlineStr">
        <x:is>
          <x:t xml:space="preserve">登记任务编号、人员、站点、Listing/SKU或A+内容编号、具体问题、证据、拟修改模块、预期目标、预计金额及复盘日期。负责人确认后执行；主动提出的方案同样登记。</x:t>
        </x:is>
      </x:c>
    </x:row>
    <x:row r="10" ht="85" customHeight="1">
      <x:c r="A10" s="8" t="inlineStr">
        <x:is>
          <x:t xml:space="preserve">有效优化</x:t>
        </x:is>
      </x:c>
      <x:c r="B10" s="8" t="inlineStr">
        <x:is>
          <x:t xml:space="preserve">必须针对具体问题进行实质改进。无依据地换同义词、调整语序、反复恢复旧版等，不作为新优化任务计费。资料修正属于纠错时按纠错规则。 上架中用Codex改写已有文案已含上架基础金额，不另计内容编写；需独立研究和构思并交付原创文案时才另计。</x:t>
        </x:is>
      </x:c>
    </x:row>
    <x:row r="11" ht="85" customHeight="1">
      <x:c r="A11" s="4" t="inlineStr">
        <x:is>
          <x:t xml:space="preserve">计费单位</x:t>
        </x:is>
      </x:c>
      <x:c r="B11" s="4" t="inlineStr">
        <x:is>
          <x:t xml:space="preserve">各项目金额以任务报酬为唯一数值规则。Skill辅助改写标题、五点、描述各10元；A+全新25元、复用15元、局改10元、绑定5元/SKU。无难度系数。</x:t>
        </x:is>
      </x:c>
    </x:row>
    <x:row r="12" ht="85" customHeight="1">
      <x:c r="A12" s="8" t="inlineStr">
        <x:is>
          <x:t xml:space="preserve">复盘前合并</x:t>
        </x:is>
      </x:c>
      <x:c r="B12" s="8" t="inlineStr">
        <x:is>
          <x:t xml:space="preserve">同一站点、同一Listing的同一模块，或同一份共享A+，在上轮复盘完成前不得再领取该模块的新优化金额。追加修改、调试、回滚、返工并入原任务；换OA编号、拆分五点、换人员或跨月不解除限制。</x:t>
        </x:is>
      </x:c>
    </x:row>
    <x:row r="13" ht="85" customHeight="1">
      <x:c r="A13" s="4" t="inlineStr">
        <x:is>
          <x:t xml:space="preserve">不同模块</x:t>
        </x:is>
      </x:c>
      <x:c r="B13" s="4" t="inlineStr">
        <x:is>
          <x:t xml:space="preserve">同一Listing的其他模块有独立问题和目标时可以纳入当前方案，按实际模块计一次。共同优化尽量一次登记、统一复盘，不把连续修改拆成多轮领取金额。</x:t>
        </x:is>
      </x:c>
    </x:row>
    <x:row r="14" ht="85" customHeight="1">
      <x:c r="A14" s="8" t="inlineStr">
        <x:is>
          <x:t xml:space="preserve">复盘时间</x:t>
        </x:is>
      </x:c>
      <x:c r="B14" s="8" t="inlineStr">
        <x:is>
          <x:t xml:space="preserve">试行默认：内容实际生效后14天复盘。登记生效日、观察区间及到期日；数据不足可记录原因和新日期继续观察。不能仅凭等待满14天认定完成复盘。</x:t>
        </x:is>
      </x:c>
    </x:row>
    <x:row r="15" ht="85" customHeight="1">
      <x:c r="A15" s="4" t="inlineStr">
        <x:is>
          <x:t xml:space="preserve">复盘内容</x:t>
        </x:is>
      </x:c>
      <x:c r="B15" s="4" t="inlineStr">
        <x:is>
          <x:t xml:space="preserve">核对原问题是否改善，提供修改前后内容及可获得的相关数据，注明价格、广告、库存等同期变化，形成保留、调整、回滚或继续观察的结论。结论为继续观察时保持待复盘。</x:t>
        </x:is>
      </x:c>
    </x:row>
    <x:row r="16" ht="85" customHeight="1">
      <x:c r="A16" s="8" t="inlineStr">
        <x:is>
          <x:t xml:space="preserve">金额结算</x:t>
        </x:is>
      </x:c>
      <x:c r="B16" s="8" t="inlineStr">
        <x:is>
          <x:t xml:space="preserve">负责人安排的优化先登记预计任务金额，内容发布核验且复盘形成结论后结算。自主发起改善按正常任务金额×主动倍率结算（见“主动改善评价”），不再使用主动改善等级金额。结果未增长不自动判为零金额，按依据、实际交付及复盘验收；同一工作不跨两条路径重复计费。 新品首次文案编写按可用定稿验收，不适用本页优化复盘等待要求；其他制作及发布任务按各项目完成条件验收。</x:t>
        </x:is>
      </x:c>
    </x:row>
    <x:row r="17" ht="85" customHeight="1">
      <x:c r="A17" s="4" t="inlineStr">
        <x:is>
          <x:t xml:space="preserve">允许下一轮的条件</x:t>
        </x:is>
      </x:c>
      <x:c r="B17" s="4" t="inlineStr">
        <x:is>
          <x:t xml:space="preserve">上一轮已完成复盘，且出现新证据、新问题或经确认的新目标，才能建立新的计酬优化任务。完成复盘本身不是再次领取金额的依据。</x:t>
        </x:is>
      </x:c>
    </x:row>
    <x:row r="18" ht="85" customHeight="1">
      <x:c r="A18" s="8" t="inlineStr">
        <x:is>
          <x:t xml:space="preserve">紧急纠错</x:t>
        </x:is>
      </x:c>
      <x:c r="B18" s="8" t="inlineStr">
        <x:is>
          <x:t xml:space="preserve">事实错误或合规展示问题应及时处理，不因等待复盘拖延。是否另计酬须按本页“责任纠错与资料变更”规则核定：本人责任纠错不另计酬；按原确认资料正确执行后的新增变更，按对应任务验收计酬。</x:t>
        </x:is>
      </x:c>
    </x:row>
    <x:row r="19" ht="85" customHeight="1">
      <x:c r="A19" s="4" t="inlineStr">
        <x:is>
          <x:t xml:space="preserve">避免交叉重复</x:t>
        </x:is>
      </x:c>
      <x:c r="B19" s="4" t="inlineStr">
        <x:is>
          <x:t xml:space="preserve">同份同轮A+只选一个制作档，制作含本次首次绑定；同一纠错不再领优化或图片修改金额。原有A+完全重做须保留旧版、另建新ID，记录原因及前后差异，核验新版本应用。</x:t>
        </x:is>
      </x:c>
    </x:row>
    <x:row r="20" ht="85" customHeight="1">
      <x:c r="A20" s="8" t="inlineStr">
        <x:is>
          <x:t xml:space="preserve">主动改善衔接</x:t>
        </x:is>
      </x:c>
      <x:c r="B20" s="8" t="inlineStr">
        <x:is>
          <x:t xml:space="preserve">按任务报酬和主动改善评价计算，责任纠错不付报酬。广告同一案例的任务档与成果奖可升级，累计取较高总额、扣全部已付后补差。非广告独立任务与成果奖可并存。</x:t>
        </x:is>
      </x:c>
    </x:row>
    <x:row r="21" ht="85" customHeight="1">
      <x:c r="A21" s="4" t="inlineStr">
        <x:is>
          <x:t xml:space="preserve">台账字段</x:t>
        </x:is>
      </x:c>
      <x:c r="B21" s="4" t="inlineStr">
        <x:is>
          <x:t xml:space="preserve">原任务及来源、计酬项、计酬组、对象、问题及证据、预期目标、前后内容、实际生效日、复盘日期与结论、核定金额、已结算金额、补差、结算月份；已有OA/Ads Change直接关联，不重复抄录。</x:t>
        </x:is>
      </x:c>
    </x:row>
    <x:row r="22" ht="85" customHeight="1">
      <x:c r="A22" s="8" t="inlineStr">
        <x:is>
          <x:t xml:space="preserve">状态流转</x:t>
        </x:is>
      </x:c>
      <x:c r="B22" s="8" t="inlineStr">
        <x:is>
          <x:t xml:space="preserve">待确认 → 执行中 → 待生效核验 → 待复盘 → 已完成/已结算。数据不足记录延期；复盘未完成不建立同模块的新计费任务。</x:t>
        </x:is>
      </x:c>
    </x:row>
    <x:row r="23" ht="85" customHeight="1">
      <x:c r="A23" s="4" t="inlineStr">
        <x:is>
          <x:t xml:space="preserve">责任纠错与资料变更</x:t>
        </x:is>
      </x:c>
      <x:c r="B23" s="4" t="inlineStr">
        <x:is>
          <x:t xml:space="preserve">以下规则适用于所有工作项目，包括新品开发、运营执行和主动改善。判断依据是操作当时已确认的资料及执行记录，不以产品归属或当前参数倒推责任。</x:t>
        </x:is>
      </x:c>
    </x:row>
    <x:row r="24" ht="85" customHeight="1">
      <x:c r="A24" s="8" t="inlineStr">
        <x:is>
          <x:t xml:space="preserve">本人责任纠错不另计酬</x:t>
        </x:is>
      </x:c>
      <x:c r="B24" s="8" t="inlineStr">
        <x:is>
          <x:t xml:space="preserve">因本人操作、编写或应核验事项的疏漏造成的错误，后续纠错、补交及返工属于原任务责任范围，不另计任务报酬、主动加成或成果奖励。跨月、补建OA任务不改变规则。本人开发产品也按此规则，不将该产品后续所有新增工作一律视为返工。</x:t>
        </x:is>
      </x:c>
    </x:row>
    <x:row r="25" ht="85" customHeight="1">
      <x:c r="A25" s="4" t="inlineStr">
        <x:is>
          <x:t xml:space="preserve">执行错误如何判定</x:t>
        </x:is>
      </x:c>
      <x:c r="B25" s="4" t="inlineStr">
        <x:is>
          <x:t xml:space="preserve">当时确认资料正确，员工填写或上传结果与之不一致，属于执行错误。例：确认12V，上传24V，本人更正为12V不另计酬。资料缺失或冲突时未经确认自行填写导致错误，也属于责任纠错。</x:t>
        </x:is>
      </x:c>
    </x:row>
    <x:row r="26" ht="85" customHeight="1">
      <x:c r="A26" s="8" t="inlineStr">
        <x:is>
          <x:t xml:space="preserve">负责人更新或更正资料</x:t>
        </x:is>
      </x:c>
      <x:c r="B26" s="8" t="inlineStr">
        <x:is>
          <x:t xml:space="preserve">员工按当时确认资料正确执行，之后负责人更新或更正参数，对执行员工而言按新增修改任务计酬。例：确认12V且上传12V，后续通知改24V，可按对应任务计酬。员工提出疑问并取得确认后正确执行的，适用同一原则。</x:t>
        </x:is>
      </x:c>
    </x:row>
    <x:row r="27" ht="85" customHeight="1">
      <x:c r="A27" s="4" t="inlineStr">
        <x:is>
          <x:t xml:space="preserve">开发责任与新增需求</x:t>
        </x:is>
      </x:c>
      <x:c r="B27" s="4" t="inlineStr">
        <x:is>
          <x:t xml:space="preserve">本人开发时应确认的参数、资料、图片信息或字幕有误或遗漏，或约定样品评估漏检，后续补救不另计酬。产品后续真实规格变更、新客户反馈带来的有效优化、平台规则变化或系统异常，可按对应新增任务计酬。同一人兼任产品负责人及执行人，不得通过更新资料将本人原有错误变为新增任务。</x:t>
        </x:is>
      </x:c>
    </x:row>
    <x:row r="28" ht="85" customHeight="1">
      <x:c r="A28" s="8" t="inlineStr">
        <x:is>
          <x:t xml:space="preserve">保留原资料和执行证据</x:t>
        </x:is>
      </x:c>
      <x:c r="B28" s="8" t="inlineStr">
        <x:is>
          <x:t xml:space="preserve">OA保留操作当时的附件或确认内容、版本及确认时间，后续新文件不得覆盖旧版本。员工自行编写的资料也保留提交确认版本；关联上传文件、修改记录或结果截图，以便比对当时依据和实际执行。</x:t>
        </x:is>
      </x:c>
    </x:row>
    <x:row r="29" ht="85" customHeight="1">
      <x:c r="A29" s="4" t="inlineStr">
        <x:is>
          <x:t xml:space="preserve">更正登记与责任确认</x:t>
        </x:is>
      </x:c>
      <x:c r="B29" s="4" t="inlineStr">
        <x:is>
          <x:t xml:space="preserve">更正记录填写原任务编号、原资料版本、原值→新值、变更原因、执行证据及确认人。原因选择“本人责任纠错”或“负责人更新／更正资料等新增变更”；无法判断先标“待核实”。负责人核实确认，不能仅凭员工自行选择类别结算。</x:t>
        </x:is>
      </x:c>
    </x:row>
    <x:row r="30" ht="85" customHeight="1">
      <x:c r="A30" s="8" t="inlineStr">
        <x:is>
          <x:t xml:space="preserve">证据不足与结算</x:t>
        </x:is>
      </x:c>
      <x:c r="B30" s="8" t="inlineStr">
        <x:is>
          <x:t xml:space="preserve">找不到原资料或证据相互冲突时，不直接认定员工操作错误，由负责人核实并记录结论，待核实期间暂不结算该更正任务。确认属于本人责任纠错后，结算金额为0，保留处理记录且不计主动加成和成果奖励；确认属于新增变更后按对应任务标准验收结算。</x:t>
        </x:is>
      </x:c>
    </x:row>
    <x:row r="31" ht="85" customHeight="1">
      <x:c r="A31" s="4" t="inlineStr">
        <x:is>
          <x:t xml:space="preserve">参数更新与已有项目</x:t>
        </x:is>
      </x:c>
      <x:c r="B31" s="4" t="inlineStr">
        <x:is>
          <x:t xml:space="preserve">根据实际修改对象选择Listing纠错、内容优化或变体维护。同一交付只选一项；未覆盖的后台更新先明确工作范围和计酬。依据原确认资料及变更记录判定责任。</x:t>
        </x:is>
      </x:c>
    </x:row>
    <x:row r="32" ht="85" customHeight="1">
      <x:c r="A32" s="8" t="inlineStr">
        <x:is>
          <x:t xml:space="preserve">系列新品共用内容</x:t>
        </x:is>
      </x:c>
      <x:c r="B32" s="8" t="inlineStr">
        <x:is>
          <x:t xml:space="preserve">同一系列仅参数不同的首次内容，按独立原创套数计酬；参数替换、复制填表不按每个Listing领取原创费。详见“系列开发计酬”，共用与独立内容须关联同一系列项目编号并确认。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14" customWidth="1"/>
    <x:col min="2" max="2" width="28" customWidth="1"/>
    <x:col min="3" max="3" width="18" customWidth="1"/>
    <x:col min="4" max="4" width="24" customWidth="1"/>
    <x:col min="5" max="5" width="36" customWidth="1"/>
    <x:col min="6" max="6" width="105" customWidth="1"/>
  </x:cols>
  <x:sheetData>
    <x:row r="2" ht="28" customHeight="1">
      <x:c r="A2" s="1" t="inlineStr">
        <x:is>
          <x:t xml:space="preserve">研发考核规则</x:t>
        </x:is>
      </x:c>
    </x:row>
    <x:row r="3" ht="23" customHeight="1">
      <x:c r="A3" s="2" t="inlineStr">
        <x:is>
          <x:t xml:space="preserve">技术研发：研究阶段报酬＋突破额外奖金＋投产奖金＋销售提成；普通新品开发各独立交付仍按50元。</x:t>
        </x:is>
      </x:c>
    </x:row>
    <x:row r="4" ht="23" customHeight="1">
      <x:c r="A4" s="2" t="str">
        <x:v>通用标准：独立研究阶段250元、独立技术突破额外500元、项目投产验收额外500元。确认生效日期后试行；销售提成须另行启用。</x:v>
      </x:c>
    </x:row>
    <x:row r="5" ht="23" customHeight="1">
      <x:c r="A5" s="2" t="inlineStr">
        <x:is>
          <x:t xml:space="preserve">3%和24个月为建议参数；未确认的良率、最低利润门槛及人员变动条款不当成现行规则。详见月度结算与参数。</x:t>
        </x:is>
      </x:c>
    </x:row>
    <x:row r="6" ht="23" customHeight="1">
      <x:c r="A6" s="2" t="inlineStr">
        <x:is>
          <x:t xml:space="preserve">按已验收节点在当月付款；突破与投产达到各自标准后额外发放，不从研究报酬中扣除。</x:t>
        </x:is>
      </x:c>
    </x:row>
    <x:row r="7" ht="48" customHeight="1">
      <x:c r="A7" s="7" t="inlineStr">
        <x:is>
          <x:t xml:space="preserve">编号</x:t>
        </x:is>
      </x:c>
      <x:c r="B7" s="7" t="inlineStr">
        <x:is>
          <x:t xml:space="preserve">奖励或规则</x:t>
        </x:is>
      </x:c>
      <x:c r="C7" s="7" t="inlineStr">
        <x:is>
          <x:t xml:space="preserve">参考金额/参数</x:t>
        </x:is>
      </x:c>
      <x:c r="D7" s="7" t="inlineStr">
        <x:is>
          <x:t xml:space="preserve">单位</x:t>
        </x:is>
      </x:c>
      <x:c r="E7" s="7" t="inlineStr">
        <x:is>
          <x:t xml:space="preserve">状态</x:t>
        </x:is>
      </x:c>
      <x:c r="F7" s="7" t="inlineStr">
        <x:is>
          <x:t xml:space="preserve">验收条件与边界</x:t>
        </x:is>
      </x:c>
    </x:row>
    <x:row r="8" ht="190" customHeight="1">
      <x:c r="A8" s="8" t="inlineStr">
        <x:is>
          <x:t xml:space="preserve">RD01</x:t>
        </x:is>
      </x:c>
      <x:c r="B8" s="8" t="inlineStr">
        <x:is>
          <x:t xml:space="preserve">研究阶段报酬</x:t>
        </x:is>
      </x:c>
      <x:c r="C8" s="8" t="n">
        <x:v>250</x:v>
      </x:c>
      <x:c r="D8" s="8" t="inlineStr">
        <x:is>
          <x:t xml:space="preserve">元/独立研究阶段</x:t>
        </x:is>
      </x:c>
      <x:c r="E8" s="8" t="inlineStr">
        <x:is>
          <x:t xml:space="preserve">通用标准</x:t>
        </x:is>
      </x:c>
      <x:c r="F8" s="8" t="str">
        <x:v>一个独立研究阶段按250元计酬，有实际调查、拆解、设计或试验记录及有依据的结论。RD01仅为总则，RS01—RS05是阶段分类，N1—N3是同一阶段的分期付款，不是三套可累计报酬。每个已批准阶段使用唯一阶段ID；同阶段不得因SKU、人员、月份或试验次数增加而重复立项。明显超出通用范围的复杂阶段，开始前确认总金额和交付，不按等待时间或事后自报天数自动加钱。</x:v>
      </x:c>
    </x:row>
    <x:row r="9" ht="190" customHeight="1">
      <x:c r="A9" s="4" t="inlineStr">
        <x:is>
          <x:t xml:space="preserve">RD02</x:t>
        </x:is>
      </x:c>
      <x:c r="B9" s="4" t="inlineStr">
        <x:is>
          <x:t xml:space="preserve">技术突破奖金</x:t>
        </x:is>
      </x:c>
      <x:c r="C9" s="4" t="n">
        <x:v>500</x:v>
      </x:c>
      <x:c r="D9" s="4" t="inlineStr">
        <x:is>
          <x:t xml:space="preserve">元/独立技术难点</x:t>
        </x:is>
      </x:c>
      <x:c r="E9" s="4" t="inlineStr">
        <x:is>
          <x:t xml:space="preserve">通用标准</x:t>
        </x:is>
      </x:c>
      <x:c r="F9" s="4" t="str">
        <x:v>与研究报酬分开：独立技术难点达到预先确认的突破标准，额外奖励500元。常规阶段完成不自动算突破；同一问题的多轮改进只计一次，按RD08认定。可行性判定专项突破适用RD11的事前约定条件。</x:v>
      </x:c>
    </x:row>
    <x:row r="10" ht="100" customHeight="1">
      <x:c r="A10" s="8" t="inlineStr">
        <x:is>
          <x:t xml:space="preserve">RD03</x:t>
        </x:is>
      </x:c>
      <x:c r="B10" s="8" t="inlineStr">
        <x:is>
          <x:t xml:space="preserve">投产验收奖金</x:t>
        </x:is>
      </x:c>
      <x:c r="C10" s="8" t="n">
        <x:v>500</x:v>
      </x:c>
      <x:c r="D10" s="8" t="inlineStr">
        <x:is>
          <x:t xml:space="preserve">元/独立研发项目</x:t>
        </x:is>
      </x:c>
      <x:c r="E10" s="8" t="inlineStr">
        <x:is>
          <x:t xml:space="preserve">通用标准</x:t>
        </x:is>
      </x:c>
      <x:c r="F10" s="8" t="inlineStr">
        <x:is>
          <x:t xml:space="preserve">设计、BOM、工艺及检验资料交接完整，首批生产通过验收，关键问题完成处理。良率等指标按项目确认，不默认95%。同系列共用方案只计一次。</x:t>
        </x:is>
      </x:c>
    </x:row>
    <x:row r="11" ht="100" customHeight="1">
      <x:c r="A11" s="4" t="inlineStr">
        <x:is>
          <x:t xml:space="preserve">RD04</x:t>
        </x:is>
      </x:c>
      <x:c r="B11" s="4" t="inlineStr">
        <x:is>
          <x:t xml:space="preserve">销售提成比例</x:t>
        </x:is>
      </x:c>
      <x:c r="C11" s="17" t="n">
        <x:v>0.03</x:v>
      </x:c>
      <x:c r="D11" s="4" t="inlineStr">
        <x:is>
          <x:t xml:space="preserve">贡献利润比例</x:t>
        </x:is>
      </x:c>
      <x:c r="E11" s="4" t="inlineStr">
        <x:is>
          <x:t xml:space="preserve">待项目确认；不自动用于实发</x:t>
        </x:is>
      </x:c>
      <x:c r="F11" s="4" t="inlineStr">
        <x:is>
          <x:t xml:space="preserve">3%是试行建议。按项目提成池及事先确认的个人份额分配；须确认关联产品和利润口径。</x:t>
        </x:is>
      </x:c>
    </x:row>
    <x:row r="12" ht="100" customHeight="1">
      <x:c r="A12" s="8" t="inlineStr">
        <x:is>
          <x:t xml:space="preserve">RD05</x:t>
        </x:is>
      </x:c>
      <x:c r="B12" s="8" t="inlineStr">
        <x:is>
          <x:t xml:space="preserve">销售提成期限</x:t>
        </x:is>
      </x:c>
      <x:c r="C12" s="8" t="n">
        <x:v>24</x:v>
      </x:c>
      <x:c r="D12" s="8" t="inlineStr">
        <x:is>
          <x:t xml:space="preserve">月</x:t>
        </x:is>
      </x:c>
      <x:c r="E12" s="8" t="inlineStr">
        <x:is>
          <x:t xml:space="preserve">待项目确认；起算事件也须确认</x:t>
        </x:is>
      </x:c>
      <x:c r="F12" s="8" t="inlineStr">
        <x:is>
          <x:t xml:space="preserve">建议期限24个月。此前建议首笔正式销售起算；原表改为可售日起算，未确认前不自动采用任何一项。是否暂停计时需约定。</x:t>
        </x:is>
      </x:c>
    </x:row>
    <x:row r="13" ht="190" customHeight="1">
      <x:c r="A13" s="4" t="inlineStr">
        <x:is>
          <x:t xml:space="preserve">RD06</x:t>
        </x:is>
      </x:c>
      <x:c r="B13" s="4" t="inlineStr">
        <x:is>
          <x:t xml:space="preserve">研究阶段定义</x:t>
        </x:is>
      </x:c>
      <x:c r="C13" s="4" t="n"/>
      <x:c r="D13" s="4" t="inlineStr">
        <x:is>
          <x:t xml:space="preserve">规则</x:t>
        </x:is>
      </x:c>
      <x:c r="E13" s="4" t="inlineStr">
        <x:is>
          <x:t xml:space="preserve">通用标准</x:t>
        </x:is>
      </x:c>
      <x:c r="F13" s="4" t="str">
        <x:v>按实际独立交付选用RS01—RS05，不要求每个项目全部完成。阶段开始前确认项目ID、阶段ID、工作范围、验收人、节点交付和总金额。一个阶段累计250元＝N1的50元＋N2的150元＋N3的50元，不再加RD01或RS行的另一笔250元。相同交付使用一个阶段ID，不重复拆阶段。</x:v>
      </x:c>
    </x:row>
    <x:row r="14" ht="100" customHeight="1">
      <x:c r="A14" s="4" t="inlineStr">
        <x:is>
          <x:t xml:space="preserve">RS01</x:t>
        </x:is>
      </x:c>
      <x:c r="B14" s="4" t="inlineStr">
        <x:is>
          <x:t xml:space="preserve">专利信息调查与风险整理</x:t>
        </x:is>
      </x:c>
      <x:c r="C14" s="4" t="n">
        <x:v>250</x:v>
      </x:c>
      <x:c r="D14" s="4" t="inlineStr">
        <x:is>
          <x:t xml:space="preserve">元/阶段</x:t>
        </x:is>
      </x:c>
      <x:c r="E14" s="4" t="inlineStr">
        <x:is>
          <x:t xml:space="preserve">通用标准</x:t>
        </x:is>
      </x:c>
      <x:c r="F14" s="4" t="inlineStr">
        <x:is>
          <x:t xml:space="preserve">相关专利清单、关键技术内容对照、疑似风险点及待专业确认事项；不能仅凭员工检索就认定没有侵权风险。</x:t>
        </x:is>
      </x:c>
    </x:row>
    <x:row r="15" ht="100" customHeight="1">
      <x:c r="A15" s="4" t="inlineStr">
        <x:is>
          <x:t xml:space="preserve">RS02</x:t>
        </x:is>
      </x:c>
      <x:c r="B15" s="4" t="inlineStr">
        <x:is>
          <x:t xml:space="preserve">拆机与原理分析</x:t>
        </x:is>
      </x:c>
      <x:c r="C15" s="4" t="n">
        <x:v>250</x:v>
      </x:c>
      <x:c r="D15" s="4" t="inlineStr">
        <x:is>
          <x:t xml:space="preserve">元/阶段</x:t>
        </x:is>
      </x:c>
      <x:c r="E15" s="4" t="inlineStr">
        <x:is>
          <x:t xml:space="preserve">通用标准</x:t>
        </x:is>
      </x:c>
      <x:c r="F15" s="4" t="inlineStr">
        <x:is>
          <x:t xml:space="preserve">拆机记录、零部件清单、关键结构及工作原理说明、尚未解决的问题。</x:t>
        </x:is>
      </x:c>
    </x:row>
    <x:row r="16" ht="100" customHeight="1">
      <x:c r="A16" s="4" t="inlineStr">
        <x:is>
          <x:t xml:space="preserve">RS03</x:t>
        </x:is>
      </x:c>
      <x:c r="B16" s="4" t="inlineStr">
        <x:is>
          <x:t xml:space="preserve">零部件寻找与适配验证</x:t>
        </x:is>
      </x:c>
      <x:c r="C16" s="4" t="n">
        <x:v>250</x:v>
      </x:c>
      <x:c r="D16" s="4" t="inlineStr">
        <x:is>
          <x:t xml:space="preserve">元/阶段</x:t>
        </x:is>
      </x:c>
      <x:c r="E16" s="4" t="inlineStr">
        <x:is>
          <x:t xml:space="preserve">通用标准</x:t>
        </x:is>
      </x:c>
      <x:c r="F16" s="4" t="inlineStr">
        <x:is>
          <x:t xml:space="preserve">候选零部件比较、来源及规格、适配试验记录、选用或排除结论。</x:t>
        </x:is>
      </x:c>
    </x:row>
    <x:row r="17" ht="190" customHeight="1">
      <x:c r="A17" s="4" t="inlineStr">
        <x:is>
          <x:t xml:space="preserve">RS04</x:t>
        </x:is>
      </x:c>
      <x:c r="B17" s="4" t="inlineStr">
        <x:is>
          <x:t xml:space="preserve">改型设计与样机验证</x:t>
        </x:is>
      </x:c>
      <x:c r="C17" s="4" t="n">
        <x:v>250</x:v>
      </x:c>
      <x:c r="D17" s="4" t="inlineStr">
        <x:is>
          <x:t xml:space="preserve">元/阶段</x:t>
        </x:is>
      </x:c>
      <x:c r="E17" s="4" t="inlineStr">
        <x:is>
          <x:t xml:space="preserve">通用标准</x:t>
        </x:is>
      </x:c>
      <x:c r="F17" s="4" t="str">
        <x:v>改型方案、改动依据、样机或关键结构验证、问题及修订记录。本阶段回答所选设计方案能否实现、关键结构或功能是否可行。记录本阶段试验清单及结果；相同试验执行不再作为RS05的新工作收费。</x:v>
      </x:c>
    </x:row>
    <x:row r="18" ht="190" customHeight="1">
      <x:c r="A18" s="4" t="inlineStr">
        <x:is>
          <x:t xml:space="preserve">RS05</x:t>
        </x:is>
      </x:c>
      <x:c r="B18" s="4" t="inlineStr">
        <x:is>
          <x:t xml:space="preserve">综合测试与定型</x:t>
        </x:is>
      </x:c>
      <x:c r="C18" s="4" t="n">
        <x:v>250</x:v>
      </x:c>
      <x:c r="D18" s="4" t="inlineStr">
        <x:is>
          <x:t xml:space="preserve">元/阶段</x:t>
        </x:is>
      </x:c>
      <x:c r="E18" s="4" t="inlineStr">
        <x:is>
          <x:t xml:space="preserve">通用标准</x:t>
        </x:is>
      </x:c>
      <x:c r="F18" s="4" t="str">
        <x:v>对拟定型产品按事先确定的完整测试要求完成性能、可靠性等综合验证，整理结果、遗留问题和定型建议。与RS04的局部可行性验证区分；已有测试结果可引用，引用不另收费。仅当存在独立综合测试工作和交付时计本阶段。投产奖金另以首批生产及资料交接验收为依据，不以本测试完成自动认定投产。</x:v>
      </x:c>
    </x:row>
    <x:row r="19" ht="190" customHeight="1">
      <x:c r="A19" s="4" t="inlineStr">
        <x:is>
          <x:t xml:space="preserve">RD07</x:t>
        </x:is>
      </x:c>
      <x:c r="B19" s="4" t="inlineStr">
        <x:is>
          <x:t xml:space="preserve">阶段付款节点</x:t>
        </x:is>
      </x:c>
      <x:c r="C19" s="4" t="n"/>
      <x:c r="D19" s="4" t="inlineStr">
        <x:is>
          <x:t xml:space="preserve">规则</x:t>
        </x:is>
      </x:c>
      <x:c r="E19" s="4" t="inlineStr">
        <x:is>
          <x:t xml:space="preserve">通用标准</x:t>
        </x:is>
      </x:c>
      <x:c r="F19" s="4" t="str">
        <x:v>标准250元阶段按N1/N2/N3的50元、150元、50元分期支付，累计不超过250元。事前另定阶段总金额时，三个节点默认按20%/60%/20%分配，金额保留两位小数，末节点取总额减前两节点余额。节点分别验收，按验收月结算；每次只付该阶段累计应付减全部已付的正差额。</x:v>
      </x:c>
    </x:row>
    <x:row r="20" ht="100" customHeight="1">
      <x:c r="A20" s="4" t="inlineStr">
        <x:is>
          <x:t xml:space="preserve">N1</x:t>
        </x:is>
      </x:c>
      <x:c r="B20" s="4" t="inlineStr">
        <x:is>
          <x:t xml:space="preserve">分析与验证方案</x:t>
        </x:is>
      </x:c>
      <x:c r="C20" s="4" t="n">
        <x:v>50</x:v>
      </x:c>
      <x:c r="D20" s="4" t="inlineStr">
        <x:is>
          <x:t xml:space="preserve">元</x:t>
        </x:is>
      </x:c>
      <x:c r="E20" s="4" t="inlineStr">
        <x:is>
          <x:t xml:space="preserve">执行</x:t>
        </x:is>
      </x:c>
      <x:c r="F20" s="4" t="inlineStr">
        <x:is>
          <x:t xml:space="preserve">明确问题、已有依据、准备验证什么及如何验证。</x:t>
        </x:is>
      </x:c>
    </x:row>
    <x:row r="21" ht="100" customHeight="1">
      <x:c r="A21" s="4" t="inlineStr">
        <x:is>
          <x:t xml:space="preserve">N2</x:t>
        </x:is>
      </x:c>
      <x:c r="B21" s="4" t="inlineStr">
        <x:is>
          <x:t xml:space="preserve">核心研究与试验</x:t>
        </x:is>
      </x:c>
      <x:c r="C21" s="4" t="n">
        <x:v>150</x:v>
      </x:c>
      <x:c r="D21" s="4" t="inlineStr">
        <x:is>
          <x:t xml:space="preserve">元</x:t>
        </x:is>
      </x:c>
      <x:c r="E21" s="4" t="inlineStr">
        <x:is>
          <x:t xml:space="preserve">执行</x:t>
        </x:is>
      </x:c>
      <x:c r="F21" s="4" t="inlineStr">
        <x:is>
          <x:t xml:space="preserve">完成约定的主要调查或试验，有可检查的记录。</x:t>
        </x:is>
      </x:c>
    </x:row>
    <x:row r="22" ht="100" customHeight="1">
      <x:c r="A22" s="4" t="inlineStr">
        <x:is>
          <x:t xml:space="preserve">N3</x:t>
        </x:is>
      </x:c>
      <x:c r="B22" s="4" t="inlineStr">
        <x:is>
          <x:t xml:space="preserve">结论与交付</x:t>
        </x:is>
      </x:c>
      <x:c r="C22" s="4" t="n">
        <x:v>50</x:v>
      </x:c>
      <x:c r="D22" s="4" t="inlineStr">
        <x:is>
          <x:t xml:space="preserve">元</x:t>
        </x:is>
      </x:c>
      <x:c r="E22" s="4" t="inlineStr">
        <x:is>
          <x:t xml:space="preserve">执行</x:t>
        </x:is>
      </x:c>
      <x:c r="F22" s="4" t="inlineStr">
        <x:is>
          <x:t xml:space="preserve">形成结论、依据、资料及下一步建议。</x:t>
        </x:is>
      </x:c>
    </x:row>
    <x:row r="23" ht="190" customHeight="1">
      <x:c r="A23" s="4" t="inlineStr">
        <x:is>
          <x:t xml:space="preserve">RD08</x:t>
        </x:is>
      </x:c>
      <x:c r="B23" s="4" t="inlineStr">
        <x:is>
          <x:t xml:space="preserve">突破奖金认定条件</x:t>
        </x:is>
      </x:c>
      <x:c r="C23" s="4" t="n"/>
      <x:c r="D23" s="4" t="inlineStr">
        <x:is>
          <x:t xml:space="preserve">规则</x:t>
        </x:is>
      </x:c>
      <x:c r="E23" s="4" t="inlineStr">
        <x:is>
          <x:t xml:space="preserve">通用标准</x:t>
        </x:is>
      </x:c>
      <x:c r="F23" s="4" t="str">
        <x:v>一般技术突破须同时满足：开始研究时登记独立技术难点及通过标准；员工提出并落实解决办法；通过重复测试或不同样本验证并留记录；解决办法能用于后续设计、制造或使用。常规找到替代零件、普通验证或完成研究阶段不自动奖励。可行性判定专项按RD11事前约定；两类突破同一难点只取一次500元。</x:v>
      </x:c>
    </x:row>
    <x:row r="24" ht="100" customHeight="1">
      <x:c r="A24" s="4" t="inlineStr">
        <x:is>
          <x:t xml:space="preserve">RD09</x:t>
        </x:is>
      </x:c>
      <x:c r="B24" s="4" t="inlineStr">
        <x:is>
          <x:t xml:space="preserve">计算示例</x:t>
        </x:is>
      </x:c>
      <x:c r="C24" s="4" t="n"/>
      <x:c r="D24" s="4" t="inlineStr">
        <x:is>
          <x:t xml:space="preserve">示例</x:t>
        </x:is>
      </x:c>
      <x:c r="E24" s="4" t="inlineStr">
        <x:is>
          <x:t xml:space="preserve">示例</x:t>
        </x:is>
      </x:c>
      <x:c r="F24" s="4" t="inlineStr">
        <x:is>
          <x:t xml:space="preserve">完成5个研究阶段：5×250＝1,250元；解决2个独立技术难点：2×500＝1,000元；通过投产验收：500元；项目合计2,750元，按阶段陆续支付。销售提成另算。</x:t>
        </x:is>
      </x:c>
    </x:row>
    <x:row r="25" ht="100" customHeight="1">
      <x:c r="A25" s="4" t="inlineStr">
        <x:is>
          <x:t xml:space="preserve">RD10</x:t>
        </x:is>
      </x:c>
      <x:c r="B25" s="4" t="inlineStr">
        <x:is>
          <x:t xml:space="preserve">三条边界</x:t>
        </x:is>
      </x:c>
      <x:c r="C25" s="4" t="n"/>
      <x:c r="D25" s="4" t="inlineStr">
        <x:is>
          <x:t xml:space="preserve">规则</x:t>
        </x:is>
      </x:c>
      <x:c r="E25" s="4" t="inlineStr">
        <x:is>
          <x:t xml:space="preserve">执行</x:t>
        </x:is>
      </x:c>
      <x:c r="F25" s="4" t="inlineStr">
        <x:is>
          <x:t xml:space="preserve">①有效研究失败可以拿阶段报酬；②本人疏漏造成的返工不另付；③同系列、多人共用同一成果，只核一份总报酬再分配。</x:t>
        </x:is>
      </x:c>
    </x:row>
    <x:row r="26" ht="190" customHeight="1">
      <x:c r="A26" s="4" t="inlineStr">
        <x:is>
          <x:t xml:space="preserve">RD11</x:t>
        </x:is>
      </x:c>
      <x:c r="B26" s="4" t="inlineStr">
        <x:is>
          <x:t xml:space="preserve">有效失败与正常试验</x:t>
        </x:is>
      </x:c>
      <x:c r="C26" s="4" t="n"/>
      <x:c r="D26" s="4" t="inlineStr">
        <x:is>
          <x:t xml:space="preserve">规则</x:t>
        </x:is>
      </x:c>
      <x:c r="E26" s="4" t="inlineStr">
        <x:is>
          <x:t xml:space="preserve">执行</x:t>
        </x:is>
      </x:c>
      <x:c r="F26" s="4" t="str">
        <x:v>有效排除不可行路线可以按已验收研究节点领取报酬，默认不发突破奖。例外仅限开始研究前已登记为“可行性判定专项突破”，明确关键决策问题、证据要求、验证方法、正反两种结果的通过标准及500元奖金，并由负责人确认；达到约定标准可获奖，不能事后将普通失败改名为突破。正常探索不是责任返工，违反已确认要求的本人疏漏返工不另付。</x:v>
      </x:c>
    </x:row>
    <x:row r="27" ht="100" customHeight="1">
      <x:c r="A27" s="8" t="inlineStr">
        <x:is>
          <x:t xml:space="preserve">RD12</x:t>
        </x:is>
      </x:c>
      <x:c r="B27" s="8" t="inlineStr">
        <x:is>
          <x:t xml:space="preserve">周度跟进</x:t>
        </x:is>
      </x:c>
      <x:c r="C27" s="8" t="n"/>
      <x:c r="D27" s="8" t="inlineStr">
        <x:is>
          <x:t xml:space="preserve">规则</x:t>
        </x:is>
      </x:c>
      <x:c r="E27" s="8" t="inlineStr">
        <x:is>
          <x:t xml:space="preserve">执行</x:t>
        </x:is>
      </x:c>
      <x:c r="F27" s="8" t="inlineStr">
        <x:is>
          <x:t xml:space="preserve">每周一次记录新增成果、当前卡点、下一步，保留已有工作记录。无突破不等于偷懒；无新增证据、反复尝试不总结需复核方法。周报不单独付酬。</x:t>
        </x:is>
      </x:c>
    </x:row>
    <x:row r="28" ht="190" customHeight="1">
      <x:c r="A28" s="4" t="inlineStr">
        <x:is>
          <x:t xml:space="preserve">RD13</x:t>
        </x:is>
      </x:c>
      <x:c r="B28" s="4" t="inlineStr">
        <x:is>
          <x:t xml:space="preserve">延期与调整</x:t>
        </x:is>
      </x:c>
      <x:c r="C28" s="4" t="n"/>
      <x:c r="D28" s="4" t="inlineStr">
        <x:is>
          <x:t xml:space="preserve">规则</x:t>
        </x:is>
      </x:c>
      <x:c r="E28" s="4" t="inlineStr">
        <x:is>
          <x:t xml:space="preserve">执行</x:t>
        </x:is>
      </x:c>
      <x:c r="F28" s="4" t="str">
        <x:v>每个阶段按约定检查日期复核，决定继续、缩减范围、调整或停止；合理等待不扣已验收报酬。提前取得可靠不可行结论时，不要求继续无必要试验：N1合格付50元，N2按原要求完成才付150元，N3结论交付合格付50元；未做N2不自动领取。N2部分完成且有独立可用成果时，负责人确认缩减后的交付和金额（不超过原节点金额），记录证据和批准，不按口头完成百分比估算；已付款不重复发。</x:v>
      </x:c>
    </x:row>
    <x:row r="29" ht="100" customHeight="1">
      <x:c r="A29" s="8" t="inlineStr">
        <x:is>
          <x:t xml:space="preserve">RD14</x:t>
        </x:is>
      </x:c>
      <x:c r="B29" s="8" t="inlineStr">
        <x:is>
          <x:t xml:space="preserve">研发与运营边界</x:t>
        </x:is>
      </x:c>
      <x:c r="C29" s="8" t="n"/>
      <x:c r="D29" s="8" t="inlineStr">
        <x:is>
          <x:t xml:space="preserve">规则</x:t>
        </x:is>
      </x:c>
      <x:c r="E29" s="8" t="inlineStr">
        <x:is>
          <x:t xml:space="preserve">执行</x:t>
        </x:is>
      </x:c>
      <x:c r="F29" s="8" t="inlineStr">
        <x:is>
          <x:t xml:space="preserve">按实际工作和交付划分，不以投产前后日期一刀切。研发已付的资料、图稿等复用不重领；实际独立运营上架、图片上传等按运营规则计，不因发生在投产前自动归研发。</x:t>
        </x:is>
      </x:c>
    </x:row>
    <x:row r="30" ht="100" customHeight="1">
      <x:c r="A30" s="4" t="inlineStr">
        <x:is>
          <x:t xml:space="preserve">RD15</x:t>
        </x:is>
      </x:c>
      <x:c r="B30" s="4" t="inlineStr">
        <x:is>
          <x:t xml:space="preserve">系列及多人合作</x:t>
        </x:is>
      </x:c>
      <x:c r="C30" s="4" t="n"/>
      <x:c r="D30" s="4" t="inlineStr">
        <x:is>
          <x:t xml:space="preserve">规则</x:t>
        </x:is>
      </x:c>
      <x:c r="E30" s="4" t="inlineStr">
        <x:is>
          <x:t xml:space="preserve">执行</x:t>
        </x:is>
      </x:c>
      <x:c r="F30" s="4" t="inlineStr">
        <x:is>
          <x:t xml:space="preserve">共用研究、突破和投产成果在项目内只计一次；多人分配同一项目总报酬和提成池，份额合计100%。不同SKU不自动构成新研究项目。 例如同一研究任务250元，甲乙按已确认贡献60%/40%分配为150元/100元，不是每人250元；独立上架或其他不同交付仍按对应项目另计。</x:t>
        </x:is>
      </x:c>
    </x:row>
    <x:row r="31" ht="100" customHeight="1">
      <x:c r="A31" s="8" t="inlineStr">
        <x:is>
          <x:t xml:space="preserve">RD16</x:t>
        </x:is>
      </x:c>
      <x:c r="B31" s="8" t="inlineStr">
        <x:is>
          <x:t xml:space="preserve">研发提成与运营奖</x:t>
        </x:is>
      </x:c>
      <x:c r="C31" s="8" t="n"/>
      <x:c r="D31" s="8" t="inlineStr">
        <x:is>
          <x:t xml:space="preserve">规则</x:t>
        </x:is>
      </x:c>
      <x:c r="E31" s="8" t="inlineStr">
        <x:is>
          <x:t xml:space="preserve">执行</x:t>
        </x:is>
      </x:c>
      <x:c r="F31" s="8" t="inlineStr">
        <x:is>
          <x:t xml:space="preserve">产品研发贡献的持续提成与运营人员后续独立改善奖励可以并存。检查是否同一贡献重复奖励，不因同一产品就一律互斥；广告同一效果仍受专项排重规则约束。</x:t>
        </x:is>
      </x:c>
    </x:row>
    <x:row r="32" ht="100" customHeight="1">
      <x:c r="A32" s="4" t="inlineStr">
        <x:is>
          <x:t xml:space="preserve">RD17</x:t>
        </x:is>
      </x:c>
      <x:c r="B32" s="4" t="inlineStr">
        <x:is>
          <x:t xml:space="preserve">投产后问题处理</x:t>
        </x:is>
      </x:c>
      <x:c r="C32" s="4" t="n"/>
      <x:c r="D32" s="4" t="inlineStr">
        <x:is>
          <x:t xml:space="preserve">规则</x:t>
        </x:is>
      </x:c>
      <x:c r="E32" s="4" t="inlineStr">
        <x:is>
          <x:t xml:space="preserve">执行</x:t>
        </x:is>
      </x:c>
      <x:c r="F32" s="4" t="inlineStr">
        <x:is>
          <x:t xml:space="preserve">本人设计责任缺陷的补救不另加研究/突破奖金；新的独立需求或技术问题另确认。原表“3个月质量义务”不作为新增默认承诺，按项目确认责任及支持范围。</x:t>
        </x:is>
      </x:c>
    </x:row>
    <x:row r="33" ht="190" customHeight="1">
      <x:c r="A33" s="8" t="inlineStr">
        <x:is>
          <x:t xml:space="preserve">RD18</x:t>
        </x:is>
      </x:c>
      <x:c r="B33" s="8" t="inlineStr">
        <x:is>
          <x:t xml:space="preserve">立项记录</x:t>
        </x:is>
      </x:c>
      <x:c r="C33" s="8" t="n"/>
      <x:c r="D33" s="8" t="inlineStr">
        <x:is>
          <x:t xml:space="preserve">字段</x:t>
        </x:is>
      </x:c>
      <x:c r="E33" s="8" t="inlineStr">
        <x:is>
          <x:t xml:space="preserve">执行</x:t>
        </x:is>
      </x:c>
      <x:c r="F33" s="8" t="str">
        <x:v>立项记录：项目ID、阶段ID、研究问题、验收方法、总金额、各节点金额、检查日期、成员份额、突破ID及指标、投产目标、验收人、验收日期、历史已付及本次应付。研究阶段、突破、投产分别建结算记录并关联项目。同项本次应付＝已验收累计应付减历史已付的正差额。销售提成另记已确认参数和结算记录。</x:v>
      </x:c>
    </x:row>
    <x:row r="34" ht="190" customHeight="1">
      <x:c r="A34" s="4" t="inlineStr">
        <x:is>
          <x:t xml:space="preserve">RD19</x:t>
        </x:is>
      </x:c>
      <x:c r="B34" s="4" t="inlineStr">
        <x:is>
          <x:t xml:space="preserve">立项金额确认模板</x:t>
        </x:is>
      </x:c>
      <x:c r="C34" s="4" t="n"/>
      <x:c r="D34" s="4" t="inlineStr">
        <x:is>
          <x:t xml:space="preserve">字段</x:t>
        </x:is>
      </x:c>
      <x:c r="E34" s="4" t="inlineStr">
        <x:is>
          <x:t xml:space="preserve">开始前填写</x:t>
        </x:is>
      </x:c>
      <x:c r="F34" s="4" t="str">
        <x:v>开始前填写项目及阶段ID、技术问题、现有资料、待验证假设、计划路线、节点交付与金额、预计有效投入、检查日期、验收人、突破指标及奖金、成员份额、批准人及日期。通用阶段直接用250元及50/150/50节点，不必重新定价；复杂阶段另定总额时说明新增范围，按20%/60%/20%拆分并确认。阶段同一成果不再领普通新品开发任务报酬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34" customWidth="1"/>
    <x:col min="2" max="2" width="28" customWidth="1"/>
    <x:col min="3" max="3" width="30" customWidth="1"/>
    <x:col min="4" max="4" width="115" customWidth="1"/>
  </x:cols>
  <x:sheetData>
    <x:row r="2" ht="28" customHeight="1">
      <x:c r="A2" s="1" t="inlineStr">
        <x:is>
          <x:t xml:space="preserve">月度结算与参数</x:t>
        </x:is>
      </x:c>
    </x:row>
    <x:row r="3" ht="23" customHeight="1">
      <x:c r="A3" s="2" t="inlineStr">
        <x:is>
          <x:t xml:space="preserve">月底按OA、Ads Change及主动记录汇总直接金额，继续使用原有入口。</x:t>
        </x:is>
      </x:c>
    </x:row>
    <x:row r="4" ht="23" customHeight="1">
      <x:c r="A4" s="2" t="inlineStr">
        <x:is>
          <x:t xml:space="preserve">任务金额已确定；提成比例、期限、成本及成员份额仍须按项目确认。</x:t>
        </x:is>
      </x:c>
    </x:row>
    <x:row r="5" ht="23" customHeight="1">
      <x:c r="A5" s="2" t="inlineStr">
        <x:is>
          <x:t xml:space="preserve">月度报酬＝本月核定未付任务报酬＋本月突破/投产奖金＋本月现金成果奖；销售提成按约定周期另结。</x:t>
        </x:is>
      </x:c>
    </x:row>
    <x:row r="6" ht="23" customHeight="1">
      <x:c r="A6" s="2" t="inlineStr">
        <x:is>
          <x:t xml:space="preserve">固定金额可按后续确认版本调整；原已结算记录保留当时的金额标准。</x:t>
        </x:is>
      </x:c>
    </x:row>
    <x:row r="7" ht="48" customHeight="1">
      <x:c r="A7" s="7" t="inlineStr">
        <x:is>
          <x:t xml:space="preserve">参数或事项</x:t>
        </x:is>
      </x:c>
      <x:c r="B7" s="7" t="inlineStr">
        <x:is>
          <x:t xml:space="preserve">确认值（填写）</x:t>
        </x:is>
      </x:c>
      <x:c r="C7" s="7" t="inlineStr">
        <x:is>
          <x:t xml:space="preserve">状态</x:t>
        </x:is>
      </x:c>
      <x:c r="D7" s="7" t="inlineStr">
        <x:is>
          <x:t xml:space="preserve">口径及执行要求</x:t>
        </x:is>
      </x:c>
    </x:row>
    <x:row r="8" ht="85" customHeight="1">
      <x:c r="A8" s="8" t="inlineStr">
        <x:is>
          <x:t xml:space="preserve">计酬单位</x:t>
        </x:is>
      </x:c>
      <x:c r="B8" s="9" t="inlineStr">
        <x:is>
          <x:t xml:space="preserve">人民币元</x:t>
        </x:is>
      </x:c>
      <x:c r="C8" s="8" t="inlineStr">
        <x:is>
          <x:t xml:space="preserve">已确认</x:t>
        </x:is>
      </x:c>
      <x:c r="D8" s="8" t="inlineStr">
        <x:is>
          <x:t xml:space="preserve">直接使用任务报酬表中的金额，不设置或使用积分换算参数。</x:t>
        </x:is>
      </x:c>
    </x:row>
    <x:row r="9" ht="85" customHeight="1">
      <x:c r="A9" s="4" t="inlineStr">
        <x:is>
          <x:t xml:space="preserve">提成比例</x:t>
        </x:is>
      </x:c>
      <x:c r="B9" s="9" t="n"/>
      <x:c r="C9" s="4" t="inlineStr">
        <x:is>
          <x:t xml:space="preserve">未启用；待项目确认</x:t>
        </x:is>
      </x:c>
      <x:c r="D9" s="4" t="inlineStr">
        <x:is>
          <x:t xml:space="preserve">建议3%，项目确认后采用；不是无条件保证值。</x:t>
        </x:is>
      </x:c>
    </x:row>
    <x:row r="10" ht="85" customHeight="1">
      <x:c r="A10" s="8" t="inlineStr">
        <x:is>
          <x:t xml:space="preserve">提成期限（月）</x:t>
        </x:is>
      </x:c>
      <x:c r="B10" s="9" t="n"/>
      <x:c r="C10" s="8" t="inlineStr">
        <x:is>
          <x:t xml:space="preserve">未启用；待项目确认</x:t>
        </x:is>
      </x:c>
      <x:c r="D10" s="8" t="inlineStr">
        <x:is>
          <x:t xml:space="preserve">建议24个月；确认起算日及暂停条件。</x:t>
        </x:is>
      </x:c>
    </x:row>
    <x:row r="11" ht="85" customHeight="1">
      <x:c r="A11" s="4" t="inlineStr">
        <x:is>
          <x:t xml:space="preserve">提成起算事件</x:t>
        </x:is>
      </x:c>
      <x:c r="B11" s="9" t="n"/>
      <x:c r="C11" s="4" t="inlineStr">
        <x:is>
          <x:t xml:space="preserve">未启用；待项目确认</x:t>
        </x:is>
      </x:c>
      <x:c r="D11" s="4" t="inlineStr">
        <x:is>
          <x:t xml:space="preserve">首笔正式销售或其他明确事件，不能同时存在两套口径。</x:t>
        </x:is>
      </x:c>
    </x:row>
    <x:row r="12" ht="85" customHeight="1">
      <x:c r="A12" s="8" t="inlineStr">
        <x:is>
          <x:t xml:space="preserve">最低利润门槛</x:t>
        </x:is>
      </x:c>
      <x:c r="B12" s="9" t="n"/>
      <x:c r="C12" s="8" t="inlineStr">
        <x:is>
          <x:t xml:space="preserve">待确认，不默认500元</x:t>
        </x:is>
      </x:c>
      <x:c r="D12" s="8" t="inlineStr">
        <x:is>
          <x:t xml:space="preserve">若希望每笔盈利销售都有分成，应明确不设门槛或改为累计结算；不能默默没收小额提成。</x:t>
        </x:is>
      </x:c>
    </x:row>
    <x:row r="13" ht="85" customHeight="1">
      <x:c r="A13" s="4" t="inlineStr">
        <x:is>
          <x:t xml:space="preserve">贡献利润成本口径</x:t>
        </x:is>
      </x:c>
      <x:c r="B13" s="9" t="n"/>
      <x:c r="C13" s="4" t="inlineStr">
        <x:is>
          <x:t xml:space="preserve">待项目确认</x:t>
        </x:is>
      </x:c>
      <x:c r="D13" s="4" t="inlineStr">
        <x:is>
          <x:t xml:space="preserve">明确销售净收入、采购、运费、平台/履约、广告、退货和质量索赔的归属口径，避免已冲减净收入的退款再扣一次。</x:t>
        </x:is>
      </x:c>
    </x:row>
    <x:row r="14" ht="85" customHeight="1">
      <x:c r="A14" s="8" t="inlineStr">
        <x:is>
          <x:t xml:space="preserve">退货及亏损调整</x:t>
        </x:is>
      </x:c>
      <x:c r="B14" s="9" t="n"/>
      <x:c r="C14" s="8" t="inlineStr">
        <x:is>
          <x:t xml:space="preserve">待项目确认</x:t>
        </x:is>
      </x:c>
      <x:c r="D14" s="8" t="inlineStr">
        <x:is>
          <x:t xml:space="preserve">明确按项目跨期退货、负利润和以前已计提的补差方式，不能只选盈利月、忽略后续冲减。</x:t>
        </x:is>
      </x:c>
    </x:row>
    <x:row r="15" ht="85" customHeight="1">
      <x:c r="A15" s="4" t="inlineStr">
        <x:is>
          <x:t xml:space="preserve">人员分配及变动</x:t>
        </x:is>
      </x:c>
      <x:c r="B15" s="9" t="n"/>
      <x:c r="C15" s="4" t="inlineStr">
        <x:is>
          <x:t xml:space="preserve">待项目确认</x:t>
        </x:is>
      </x:c>
      <x:c r="D15" s="4" t="inlineStr">
        <x:is>
          <x:t xml:space="preserve">按研发贡献约定份额；不默认按参与月份。调岗、退出或离职后的期限及份额按明确约定，不由本表推定义务。</x:t>
        </x:is>
      </x:c>
    </x:row>
    <x:row r="16" ht="85" customHeight="1">
      <x:c r="A16" s="8" t="inlineStr">
        <x:is>
          <x:t xml:space="preserve">投产验收指标</x:t>
        </x:is>
      </x:c>
      <x:c r="B16" s="9" t="n"/>
      <x:c r="C16" s="8" t="inlineStr">
        <x:is>
          <x:t xml:space="preserve">待项目确认</x:t>
        </x:is>
      </x:c>
      <x:c r="D16" s="8" t="inlineStr">
        <x:is>
          <x:t xml:space="preserve">明确首批检验项目和适用良率等指标；不默认95%。</x:t>
        </x:is>
      </x:c>
    </x:row>
    <x:row r="17" ht="85" customHeight="1">
      <x:c r="A17" s="4" t="inlineStr">
        <x:is>
          <x:t xml:space="preserve">月度任务金额</x:t>
        </x:is>
      </x:c>
      <x:c r="B17" s="4" t="n"/>
      <x:c r="C17" s="4" t="inlineStr">
        <x:is>
          <x:t xml:space="preserve">流程</x:t>
        </x:is>
      </x:c>
      <x:c r="D17" s="4" t="inlineStr">
        <x:is>
          <x:t xml:space="preserve">月底汇总OA完成并验收任务、Ads Change认领及已确认档位、现有主动页记录。按组/轮次去重，确认未结算金额及补差。</x:t>
        </x:is>
      </x:c>
    </x:row>
    <x:row r="18" ht="85" customHeight="1">
      <x:c r="A18" s="8" t="inlineStr">
        <x:is>
          <x:t xml:space="preserve">资料入口</x:t>
        </x:is>
      </x:c>
      <x:c r="B18" s="4" t="n"/>
      <x:c r="C18" s="8" t="inlineStr">
        <x:is>
          <x:t xml:space="preserve">流程</x:t>
        </x:is>
      </x:c>
      <x:c r="D18" s="8" t="inlineStr">
        <x:is>
          <x:t xml:space="preserve">日常仍看OA和Ads Change原入口，不要求重复建工作查看页面。缺失凭证及档位待核实才人工补录。</x:t>
        </x:is>
      </x:c>
    </x:row>
    <x:row r="19" ht="85" customHeight="1">
      <x:c r="A19" s="4" t="inlineStr">
        <x:is>
          <x:t xml:space="preserve">实际月度金额</x:t>
        </x:is>
      </x:c>
      <x:c r="B19" s="4" t="n"/>
      <x:c r="C19" s="4" t="inlineStr">
        <x:is>
          <x:t xml:space="preserve">直接金额汇总</x:t>
        </x:is>
      </x:c>
      <x:c r="D19" s="4" t="inlineStr">
        <x:is>
          <x:t xml:space="preserve">已核定未付任务报酬＋已核定未付研发突破/投产奖金＋已核定未付改善成果奖金。研发研究报酬归任务报酬，不能再加一次；提成按项目约定另结。</x:t>
        </x:is>
      </x:c>
    </x:row>
    <x:row r="20" ht="85" customHeight="1">
      <x:c r="A20" s="8" t="inlineStr">
        <x:is>
          <x:t xml:space="preserve">锁定与追溯</x:t>
        </x:is>
      </x:c>
      <x:c r="B20" s="4" t="n"/>
      <x:c r="C20" s="8" t="inlineStr">
        <x:is>
          <x:t xml:space="preserve">实现要求</x:t>
        </x:is>
      </x:c>
      <x:c r="D20" s="8" t="inlineStr">
        <x:is>
          <x:t xml:space="preserve">确认结算后锁定来源ID、规则版本、数量、倍率、金额、单价及月份。更正通过补差记录，不重发完整任务报酬。</x:t>
        </x:is>
      </x:c>
    </x:row>
    <x:row r="21" ht="85" customHeight="1">
      <x:c r="A21" s="4" t="inlineStr">
        <x:is>
          <x:t xml:space="preserve">实施状态</x:t>
        </x:is>
      </x:c>
      <x:c r="B21" s="4" t="n"/>
      <x:c r="C21" s="4" t="inlineStr">
        <x:is>
          <x:t xml:space="preserve">尚未部署</x:t>
        </x:is>
      </x:c>
      <x:c r="D21" s="4" t="inlineStr">
        <x:is>
          <x:t xml:space="preserve">本表为规则及月底统计需求，尚未修改Streamlit、未连接OA或Ads Change。需找到实际项目代码及数据接口后实现。</x:t>
        </x:is>
      </x:c>
    </x:row>
    <x:row r="22" ht="85" customHeight="1">
      <x:c r="A22" s="8" t="inlineStr">
        <x:is>
          <x:t xml:space="preserve">验收与跨月归属</x:t>
        </x:is>
      </x:c>
      <x:c r="B22" s="4" t="n"/>
      <x:c r="C22" s="8" t="inlineStr">
        <x:is>
          <x:t xml:space="preserve">执行</x:t>
        </x:is>
      </x:c>
      <x:c r="D22" s="8" t="inlineStr">
        <x:is>
          <x:t xml:space="preserve">按验收通过月份计入应付。周任务跨月按该周验收月结算一次；内容复盘或研发节点跨月按各自约定验收节点归属，不按创建日或操作日重复计算。已核定但漏付的历史金额列补发，并保留原验收月份。</x:t>
        </x:is>
      </x:c>
    </x:row>
    <x:row r="23" ht="85" customHeight="1">
      <x:c r="A23" s="4" t="inlineStr">
        <x:is>
          <x:t xml:space="preserve">升级与月度锁定</x:t>
        </x:is>
      </x:c>
      <x:c r="B23" s="4" t="n"/>
      <x:c r="C23" s="4" t="inlineStr">
        <x:is>
          <x:t xml:space="preserve">执行</x:t>
        </x:is>
      </x:c>
      <x:c r="D23" s="4" t="inlineStr">
        <x:is>
          <x:t xml:space="preserve">升级确认月只计补差。月底锁定后更正留补差记录，关联原案例、原结算及原因；不得覆盖历史记录后重复领取。任务金额调整只用于确认生效后的范围，原已结算金额不自动重算。</x:t>
        </x:is>
      </x:c>
    </x:row>
    <x:row r="24" ht="85" customHeight="1">
      <x:c r="A24" s="8" t="inlineStr">
        <x:is>
          <x:t xml:space="preserve">金额精度与多人分配</x:t>
        </x:is>
      </x:c>
      <x:c r="B24" s="4" t="n"/>
      <x:c r="C24" s="8" t="inlineStr">
        <x:is>
          <x:t xml:space="preserve">执行</x:t>
        </x:is>
      </x:c>
      <x:c r="D24" s="8" t="inlineStr">
        <x:is>
          <x:t xml:space="preserve">每个案例本次应付四舍五入至人民币分；多人按事前确认份额分配。前面人员四舍五入保留两位，指定最后一人领取本次总额减其他人员之和的余额，确保合计相等。份额合计100%；同一案例中途变更按剩余未付部分另确认，不重算已付。</x:t>
        </x:is>
      </x:c>
    </x:row>
    <x:row r="25" ht="85" customHeight="1">
      <x:c r="A25" s="4" t="inlineStr">
        <x:is>
          <x:t xml:space="preserve">待启用项目</x:t>
        </x:is>
      </x:c>
      <x:c r="B25" s="4" t="n"/>
      <x:c r="C25" s="4" t="inlineStr">
        <x:is>
          <x:t xml:space="preserve">执行</x:t>
        </x:is>
      </x:c>
      <x:c r="D25" s="4" t="inlineStr">
        <x:is>
          <x:t xml:space="preserve">P053跟卖检查未启用；销售提成未启用。启用前确认必要参数、责任人、适用对象及生效日期。空白不是0费率，也不能自动采用建议值计算应付；已确认的任务报酬不受提成待定影响。</x:t>
        </x:is>
      </x:c>
    </x:row>
    <x:row r="26" ht="85" customHeight="1">
      <x:c r="A26" s="8" t="inlineStr">
        <x:is>
          <x:t xml:space="preserve">计算与读取</x:t>
        </x:is>
      </x:c>
      <x:c r="B26" s="4" t="n"/>
      <x:c r="C26" s="8" t="inlineStr">
        <x:is>
          <x:t xml:space="preserve">实现要求</x:t>
        </x:is>
      </x:c>
      <x:c r="D26" s="8" t="inlineStr">
        <x:is>
          <x:t xml:space="preserve">读取Excel公式不能把空缓存当0元。结算程序按金额、数量、倍率和已付金额重新计算，校验来源及公式结果；缺失参数或结果列待核实。输出保存计算结果，金额保留两位小数。</x:t>
        </x:is>
      </x:c>
    </x:row>
    <x:row r="27" ht="115" customHeight="1">
      <x:c r="A27" t="str">
        <x:v>规则生效日期</x:v>
      </x:c>
      <x:c r="B27" s="18"/>
      <x:c r="C27" t="str">
        <x:v>实施前填写</x:v>
      </x:c>
      <x:c r="D27" t="str">
        <x:v>填写本版开始适用的日期并向执行人员说明。此前已完成或已结算的工作不自动追溯重算；跨生效日的在途任务逐项记录沿用旧规则还是采用本版，已付金额保留并扣除。</x:v>
      </x:c>
    </x:row>
    <x:row r="28" ht="115" customHeight="1">
      <x:c r="A28" t="str">
        <x:v>首月实施方式</x:v>
      </x:c>
      <x:c r="B28" s="19"/>
      <x:c r="C28" t="str">
        <x:v>执行</x:v>
      </x:c>
      <x:c r="D28" t="str">
        <x:v>先以OA、Ads Change及现有主动记录按月人工核对：明确任务来源、项目及阶段ID、适用金额、交付证据、验收人、历史已付和本次应付。研发阶段与奖金按各自条件验收；销售提成和P053未启用不自动支付。Streamlit自动结算尚未部署，人工结算不受影响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30" customWidth="1"/>
    <x:col min="2" max="2" width="38" customWidth="1"/>
    <x:col min="3" max="3" width="65" customWidth="1"/>
    <x:col min="4" max="4" width="65" customWidth="1"/>
    <x:col min="5" max="5" width="70" customWidth="1"/>
  </x:cols>
  <x:sheetData>
    <x:row r="2" ht="28" customHeight="1">
      <x:c r="A2" s="1" t="inlineStr">
        <x:is>
          <x:t xml:space="preserve">改善成果奖励</x:t>
        </x:is>
      </x:c>
    </x:row>
    <x:row r="3" ht="23" customHeight="1">
      <x:c r="A3" s="2" t="inlineStr">
        <x:is>
          <x:t xml:space="preserve">成果现金奖保持明确改善100元、持续改善累计300元，重大贡献另定；这些原有现金金额不乘5。</x:t>
        </x:is>
      </x:c>
    </x:row>
    <x:row r="4" ht="23" customHeight="1">
      <x:c r="A4" s="2" t="inlineStr">
        <x:is>
          <x:t xml:space="preserve">下方规则保留必要的证据、归因、退货观察、协作与跨月补差要求。</x:t>
        </x:is>
      </x:c>
    </x:row>
    <x:row r="5" ht="23" customHeight="1">
      <x:c r="A5" s="2" t="inlineStr">
        <x:is>
          <x:t xml:space="preserve">广告同案可由任务档升级至100元、累计300元成果档，只补差额；非广告的独立任务报酬与成果奖励仍可同时领取。</x:t>
        </x:is>
      </x:c>
    </x:row>
    <x:row r="6" ht="23" customHeight="1">
      <x:c r="A6" s="2" t="inlineStr">
        <x:is>
          <x:t xml:space="preserve">示例：100元后升级到累计300元，只补200元；再次复盘无升级不再支付。</x:t>
        </x:is>
      </x:c>
    </x:row>
    <x:row r="7" ht="48" customHeight="1">
      <x:c r="A7" s="7" t="inlineStr">
        <x:is>
          <x:t xml:space="preserve">奖励档位</x:t>
        </x:is>
      </x:c>
      <x:c r="B7" s="7" t="inlineStr">
        <x:is>
          <x:t xml:space="preserve">核定总奖励（元）</x:t>
        </x:is>
      </x:c>
      <x:c r="C7" s="7" t="inlineStr">
        <x:is>
          <x:t xml:space="preserve">认定条件</x:t>
        </x:is>
      </x:c>
      <x:c r="D7" s="7" t="inlineStr">
        <x:is>
          <x:t xml:space="preserve">所需证据</x:t>
        </x:is>
      </x:c>
      <x:c r="E7" s="7" t="inlineStr">
        <x:is>
          <x:t xml:space="preserve">结算规则</x:t>
        </x:is>
      </x:c>
    </x:row>
    <x:row r="8" ht="85" customHeight="1">
      <x:c r="A8" s="8" t="inlineStr">
        <x:is>
          <x:t xml:space="preserve">明确改善</x:t>
        </x:is>
      </x:c>
      <x:c r="B8" s="8" t="n">
        <x:v>100</x:v>
      </x:c>
      <x:c r="C8" s="8" t="inlineStr">
        <x:is>
          <x:t xml:space="preserve">达到事先确认的改善目标；修改前后有可比数据、样本足够，且未明显损害其他关键指标。</x:t>
        </x:is>
      </x:c>
      <x:c r="D8" s="8" t="inlineStr">
        <x:is>
          <x:t xml:space="preserve">改善目标、基线及观察区间、修改记录、前后数据和负责人验收。</x:t>
        </x:is>
      </x:c>
      <x:c r="E8" s="8" t="inlineStr">
        <x:is>
          <x:t xml:space="preserve">符合条件首次核定100元；非广告按独立成果奖支付。广告按同案累计总额扣全部历史已付，只补差额。</x:t>
        </x:is>
      </x:c>
    </x:row>
    <x:row r="9" ht="85" customHeight="1">
      <x:c r="A9" s="4" t="inlineStr">
        <x:is>
          <x:t xml:space="preserve">持续改善</x:t>
        </x:is>
      </x:c>
      <x:c r="B9" s="4" t="n">
        <x:v>300</x:v>
      </x:c>
      <x:c r="C9" s="4" t="inlineStr">
        <x:is>
          <x:t xml:space="preserve">已确认的改善在后续复查中保持，带来可说明的经济收益，例如减少退货损失或提高广告后利润。</x:t>
        </x:is>
      </x:c>
      <x:c r="D9" s="4" t="inlineStr">
        <x:is>
          <x:t xml:space="preserve">首次验收及后续复查、经济收益的测算口径、数据来源和结论。</x:t>
        </x:is>
      </x:c>
      <x:c r="E9" s="4" t="inlineStr">
        <x:is>
          <x:t xml:space="preserve">300元为成果奖累计档位。非广告已领成果奖100元则补200元；广告同案累计应付300元，扣同案全部历史已付后补差。</x:t>
        </x:is>
      </x:c>
    </x:row>
    <x:row r="10" ht="85" customHeight="1">
      <x:c r="A10" s="8" t="inlineStr">
        <x:is>
          <x:t xml:space="preserve">重大贡献</x:t>
        </x:is>
      </x:c>
      <x:c r="B10" s="8" t="n"/>
      <x:c r="C10" s="8" t="inlineStr">
        <x:is>
          <x:t xml:space="preserve">影响范围大、收益明显，普通档位不足以体现贡献。</x:t>
        </x:is>
      </x:c>
      <x:c r="D10" s="8" t="inlineStr">
        <x:is>
          <x:t xml:space="preserve">成果范围、可说明的收益、参与者贡献及负责人批准记录。</x:t>
        </x:is>
      </x:c>
      <x:c r="E10" s="8" t="inlineStr">
        <x:is>
          <x:t xml:space="preserve">负责人确定案例总奖励并记录范围；非广告扣已付成果奖，广告按同案累计较高总額减同案全部已付，只结正差额。</x:t>
        </x:is>
      </x:c>
    </x:row>
    <x:row r="11" ht="85" customHeight="1">
      <x:c r="A11" s="4" t="inlineStr">
        <x:is>
          <x:t xml:space="preserve">统一原则</x:t>
        </x:is>
      </x:c>
      <x:c r="B11" s="4" t="inlineStr">
        <x:is>
          <x:t xml:space="preserve">同一成果升级只结正差额，不乘主动倍率。广告适用统一案例累计总额规则；非广告独立任务报酬与成果奖仍可并存。</x:t>
        </x:is>
      </x:c>
      <x:c r="C11" s="4" t="n"/>
      <x:c r="D11" s="4" t="n"/>
      <x:c r="E11" s="4" t="n"/>
    </x:row>
    <x:row r="12" ht="85" customHeight="1">
      <x:c r="A12" s="8" t="inlineStr">
        <x:is>
          <x:t xml:space="preserve">登记与验证</x:t>
        </x:is>
      </x:c>
      <x:c r="B12" s="8" t="inlineStr">
        <x:is>
          <x:t xml:space="preserve">改善前登记问题、目标、衡量指标、基线范围、验证日期和关联任务，由负责人确认；先记录目标不代表提前保证奖励。</x:t>
        </x:is>
      </x:c>
      <x:c r="C12" s="8" t="n"/>
      <x:c r="D12" s="8" t="n"/>
      <x:c r="E12" s="8" t="n"/>
    </x:row>
    <x:row r="13" ht="85" customHeight="1">
      <x:c r="A13" s="4" t="inlineStr">
        <x:is>
          <x:t xml:space="preserve">验收场景</x:t>
        </x:is>
      </x:c>
      <x:c r="B13" s="4" t="inlineStr">
        <x:is>
          <x:t xml:space="preserve">重点观察</x:t>
        </x:is>
      </x:c>
      <x:c r="C13" s="4" t="inlineStr">
        <x:is>
          <x:t xml:space="preserve">可比性及观察要求</x:t>
        </x:is>
      </x:c>
      <x:c r="D13" s="4" t="inlineStr">
        <x:is>
          <x:t xml:space="preserve">不应单独作为奖励依据</x:t>
        </x:is>
      </x:c>
      <x:c r="E13" s="4" t="inlineStr">
        <x:is>
          <x:t xml:space="preserve">处理方式</x:t>
        </x:is>
      </x:c>
    </x:row>
    <x:row r="14" ht="85" customHeight="1">
      <x:c r="A14" s="8" t="inlineStr">
        <x:is>
          <x:t xml:space="preserve">描述／图片／A+改善退货</x:t>
        </x:is>
      </x:c>
      <x:c r="B14" s="8" t="inlineStr">
        <x:is>
          <x:t xml:space="preserve">相关退货原因及退货损失是否减少。</x:t>
        </x:is>
      </x:c>
      <x:c r="C14" s="8" t="inlineStr">
        <x:is>
          <x:t xml:space="preserve">对比修改前后可比订单批次；记录退货率分母及退货观察时长，确保修改后订单已获得足够退货观察期。</x:t>
        </x:is>
      </x:c>
      <x:c r="D14" s="8" t="inlineStr">
        <x:is>
          <x:t xml:space="preserve">最近几天退货率下降；仅看退货数量、没有订单基数；尚未发生退货被误认为改善。</x:t>
        </x:is>
      </x:c>
      <x:c r="E14" s="8" t="inlineStr">
        <x:is>
          <x:t xml:space="preserve">达到确认目标并满足样本及观察条件后验收；未成熟或样本不足，继续观察。</x:t>
        </x:is>
      </x:c>
    </x:row>
    <x:row r="15" ht="85" customHeight="1">
      <x:c r="A15" s="4" t="inlineStr">
        <x:is>
          <x:t xml:space="preserve">内容优化提升销量</x:t>
        </x:is>
      </x:c>
      <x:c r="B15" s="4" t="inlineStr">
        <x:is>
          <x:t xml:space="preserve">转化率、销量及利润是否改善。</x:t>
        </x:is>
      </x:c>
      <x:c r="C15" s="4" t="inlineStr">
        <x:is>
          <x:t xml:space="preserve">记录价格、促销、广告投入、库存、季节变化等同期因素；使用能支持判断的可比区间。</x:t>
        </x:is>
      </x:c>
      <x:c r="D15" s="4" t="inlineStr">
        <x:is>
          <x:t xml:space="preserve">只看销售额增长，忽略降价、广告投入增加或利润下降。</x:t>
        </x:is>
      </x:c>
      <x:c r="E15" s="4" t="inlineStr">
        <x:is>
          <x:t xml:space="preserve">依据证据判断此次内容调整的贡献；多因素变化且无法支持判断时继续观察。</x:t>
        </x:is>
      </x:c>
    </x:row>
    <x:row r="16" ht="85" customHeight="1">
      <x:c r="A16" s="8" t="inlineStr">
        <x:is>
          <x:t xml:space="preserve">广告优化提升表现</x:t>
        </x:is>
      </x:c>
      <x:c r="B16" s="8" t="inlineStr">
        <x:is>
          <x:t xml:space="preserve">广告订单、花费、ACOS及产品整体利润的变化。</x:t>
        </x:is>
      </x:c>
      <x:c r="C16" s="8" t="inlineStr">
        <x:is>
          <x:t xml:space="preserve">按事先确认目标选择指标，记录对比区间、订单归因等待和同期价格、库存、促销变化。</x:t>
        </x:is>
      </x:c>
      <x:c r="D16" s="8" t="inlineStr">
        <x:is>
          <x:t xml:space="preserve">只看ACOS降低；缩减投放后销量、利润也下降，不能直接认定为改善。</x:t>
        </x:is>
      </x:c>
      <x:c r="E16" s="8" t="inlineStr">
        <x:is>
          <x:t xml:space="preserve">广告同一案例按累计总额升级：累计应付取广告任务档金额与已核定成果奖总额中的较高者，不相加；本次支付＝累计应付减同案全部历史已付金额的正差额。历史已付含创建、执行、优化及成果奖励。先领哪一项不影响最终总额。多人共享案例总额，不按人重复领取。</x:t>
        </x:is>
      </x:c>
    </x:row>
    <x:row r="17" ht="85" customHeight="1">
      <x:c r="A17" s="4" t="inlineStr">
        <x:is>
          <x:t xml:space="preserve">重复与协作</x:t>
        </x:is>
      </x:c>
      <x:c r="B17" s="4" t="inlineStr">
        <x:is>
          <x:t xml:space="preserve">同一问题、同一改善目标及同一成果登记唯一成果编号；关联OA或Streamlit任务。多人合作在同一份奖励内分配，个人份额之和不得超过本次可发奖励。</x:t>
        </x:is>
      </x:c>
      <x:c r="C17" s="4" t="n"/>
      <x:c r="D17" s="4" t="n"/>
      <x:c r="E17" s="4" t="n"/>
    </x:row>
    <x:row r="18" ht="90" customHeight="1">
      <x:c r="A18" s="8" t="inlineStr">
        <x:is>
          <x:t xml:space="preserve">跨月与升级</x:t>
        </x:is>
      </x:c>
      <x:c r="B18" s="8" t="inlineStr">
        <x:is>
          <x:t xml:space="preserve">非广告成果奖：核定成果奖累计总额减历史成果奖。广告案例：取广告档与核定成果奖累计总额的较高者，减同案创建、执行、优化和奖金等全部已付金额。无正差额不支付。</x:t>
        </x:is>
      </x:c>
      <x:c r="C18" s="8" t="n"/>
      <x:c r="D18" s="8" t="n"/>
      <x:c r="E18" s="8" t="n"/>
    </x:row>
    <x:row r="19" ht="195" customHeight="1">
      <x:c r="A19" s="4" t="inlineStr">
        <x:is>
          <x:t xml:space="preserve">任务与成果边界</x:t>
        </x:is>
      </x:c>
      <x:c r="B19" s="4" t="inlineStr">
        <x:is>
          <x:t xml:space="preserve">任务通过验收可先按任务报酬结算；效果仍待观察不阻止已完成任务的结算。成果未达到目标不自动追扣合格任务报酬；修复本人错误或无依据操作不作为新成果奖励。 责任以操作当时已确认资料及执行证据为准；本人开发缺陷、本人执行错误的补救均不另计报酬或成果奖，不能通过更新资料或新建任务转为新成果。资料后续更新及证据不足的处理，详见“优化登记与复盘规则”。 广告同案采用累计总额补差例外，不将任务报酬与成果奖全额相加。</x:t>
        </x:is>
      </x:c>
      <x:c r="C19" s="4" t="n"/>
      <x:c r="D19" s="4" t="n"/>
      <x:c r="E19" s="4" t="n"/>
    </x:row>
    <x:row r="20" ht="85" customHeight="1">
      <x:c r="A20" s="8" t="inlineStr">
        <x:is>
          <x:t xml:space="preserve">月度汇总</x:t>
        </x:is>
      </x:c>
      <x:c r="B20" s="8" t="inlineStr">
        <x:is>
          <x:t xml:space="preserve">本月核定未付任务报酬（包含研发研究报酬）＋本月核定未付突破/投产奖金＋本月核定未付现金成果奖；各项只汇总一次，销售提成按约定周期另结。</x:t>
        </x:is>
      </x:c>
      <x:c r="C20" s="8" t="n"/>
      <x:c r="D20" s="8" t="n"/>
      <x:c r="E20" s="8" t="n"/>
    </x:row>
    <x:row r="21" ht="105" customHeight="1">
      <x:c r="A21" s="4" t="inlineStr">
        <x:is>
          <x:t xml:space="preserve">Streamlit字段</x:t>
        </x:is>
      </x:c>
      <x:c r="B21" s="4" t="inlineStr">
        <x:is>
          <x:t xml:space="preserve">成果编号、负责人及协作者、关联任务、改善对象及站点、问题与措施、改善目标、基线和观察期、前后数据、同期影响因素、复查结论、核定总奖励、累计已奖励金额、本次奖励、核定日期、结算状态和结算月份。</x:t>
        </x:is>
      </x:c>
      <x:c r="C21" s="4" t="n"/>
      <x:c r="D21" s="4" t="n"/>
      <x:c r="E21" s="4" t="n"/>
    </x:row>
    <x:row r="22" ht="85" customHeight="1">
      <x:c r="A22" s="8" t="inlineStr">
        <x:is>
          <x:t xml:space="preserve">状态</x:t>
        </x:is>
      </x:c>
      <x:c r="B22" s="8" t="inlineStr">
        <x:is>
          <x:t xml:space="preserve">待确认目标 → 执行／观察中 → 待成果验收 → 已核定 → 已结算；未满足条件则继续观察或注明不予奖励原因。</x:t>
        </x:is>
      </x:c>
      <x:c r="C22" s="8" t="n"/>
      <x:c r="D22" s="8" t="n"/>
      <x:c r="E22" s="8" t="n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baseColWidth="8" defaultRowHeight="15"/>
  <x:cols>
    <x:col min="1" max="1" width="32" customWidth="1"/>
    <x:col min="2" max="2" width="135" customWidth="1"/>
  </x:cols>
  <x:sheetData>
    <x:row r="2" ht="28" customHeight="1">
      <x:c r="A2" s="1" t="inlineStr">
        <x:is>
          <x:t xml:space="preserve">系列开发计酬</x:t>
        </x:is>
      </x:c>
    </x:row>
    <x:row r="3" ht="23" customHeight="1">
      <x:c r="A3" s="2" t="inlineStr">
        <x:is>
          <x:t xml:space="preserve">系列共用成果只付一次；每项金额以任务报酬表为准。</x:t>
        </x:is>
      </x:c>
    </x:row>
    <x:row r="4" ht="23" customHeight="1">
      <x:c r="A4" s="2" t="inlineStr">
        <x:is>
          <x:t xml:space="preserve">按真实工作计算，不把本页当固定全流程套餐。</x:t>
        </x:is>
      </x:c>
    </x:row>
    <x:row r="5" ht="23" customHeight="1">
      <x:c r="A5" s="2" t="inlineStr">
        <x:is>
          <x:t xml:space="preserve">首次上架已含既有内容的Skill改写；独立后续优化才按对应交付登记。</x:t>
        </x:is>
      </x:c>
    </x:row>
    <x:row r="6" ht="23" customHeight="1">
      <x:c r="A6" s="2" t="inlineStr">
        <x:is>
          <x:t xml:space="preserve">责任纠错和原范围补做不新增金额。</x:t>
        </x:is>
      </x:c>
    </x:row>
    <x:row r="7" ht="48" customHeight="1">
      <x:c r="A7" s="7" t="inlineStr">
        <x:is>
          <x:t xml:space="preserve">规则</x:t>
        </x:is>
      </x:c>
      <x:c r="B7" s="7" t="inlineStr">
        <x:is>
          <x:t xml:space="preserve">计酬方式</x:t>
        </x:is>
      </x:c>
    </x:row>
    <x:row r="8" ht="85" customHeight="1">
      <x:c r="A8" s="8" t="inlineStr">
        <x:is>
          <x:t xml:space="preserve">按独立成果</x:t>
        </x:is>
      </x:c>
      <x:c r="B8" s="8" t="inlineStr">
        <x:is>
          <x:t xml:space="preserve">同系列共用调研、找厂、验证或内容方案只计一次；真实独立交付才分别登记，不能按10个SKU乘全套开发报酬。</x:t>
        </x:is>
      </x:c>
    </x:row>
    <x:row r="9" ht="85" customHeight="1">
      <x:c r="A9" s="4" t="inlineStr">
        <x:is>
          <x:t xml:space="preserve">普通开发八项</x:t>
        </x:is>
      </x:c>
      <x:c r="B9" s="4" t="inlineStr">
        <x:is>
          <x:t xml:space="preserve">P044—P051每项50元，按实际发生且验收的独立阶段/成果计算。利润分析和活动复盘不是每个新品默认必做的开发收费。</x:t>
        </x:is>
      </x:c>
    </x:row>
    <x:row r="10" ht="85" customHeight="1">
      <x:c r="A10" s="8" t="inlineStr">
        <x:is>
          <x:t xml:space="preserve">上架</x:t>
        </x:is>
      </x:c>
      <x:c r="B10" s="8" t="inlineStr">
        <x:is>
          <x:t xml:space="preserve">同站点同一业务需求、可共用上架表的一组25元，含本次必要关系和既有资料改写；不按OA条数重复计。</x:t>
        </x:is>
      </x:c>
    </x:row>
    <x:row r="11" ht="85" customHeight="1">
      <x:c r="A11" s="4" t="inlineStr">
        <x:is>
          <x:t xml:space="preserve">图片上传</x:t>
        </x:is>
      </x:c>
      <x:c r="B11" s="4" t="inlineStr">
        <x:is>
          <x:t xml:space="preserve">已有图片上传10元/SKU；本批需要共用取图协调时，普通协调另加5元、复杂协调另加10元，两档只选一档。多个SKU共用协调只加一次，和样品拍摄协调已付的相同工作不重叠。</x:t>
        </x:is>
      </x:c>
    </x:row>
    <x:row r="12" ht="85" customHeight="1">
      <x:c r="A12" s="8" t="inlineStr">
        <x:is>
          <x:t xml:space="preserve">A+</x:t>
        </x:is>
      </x:c>
      <x:c r="B12" s="8" t="inlineStr">
        <x:is>
          <x:t xml:space="preserve">同份全新25元、模板15元、局改10元、后续新增绑定5元/SKU；制作含本次首次绑定。完全重做保留旧A+另建新ID。</x:t>
        </x:is>
      </x:c>
    </x:row>
    <x:row r="13" ht="85" customHeight="1">
      <x:c r="A13" s="4" t="inlineStr">
        <x:is>
          <x:t xml:space="preserve">技术研发</x:t>
        </x:is>
      </x:c>
      <x:c r="B13" s="4" t="inlineStr">
        <x:is>
          <x:t xml:space="preserve">按研发立项总报酬、阶段节点及独立突破验收；共用技术不因型号尺寸衍生重复领取整份研发/投产分。</x:t>
        </x:is>
      </x:c>
    </x:row>
    <x:row r="14" ht="85" customHeight="1">
      <x:c r="A14" s="8" t="inlineStr">
        <x:is>
          <x:t xml:space="preserve">研发运营边界</x:t>
        </x:is>
      </x:c>
      <x:c r="B14" s="8" t="inlineStr">
        <x:is>
          <x:t xml:space="preserve">相同产品资料或图稿若已在研发验收付酬，后续直接复用不重领；实际新增运营执行仍可独立计。</x:t>
        </x:is>
      </x:c>
    </x:row>
    <x:row r="15" ht="85" customHeight="1">
      <x:c r="A15" s="4" t="inlineStr">
        <x:is>
          <x:t xml:space="preserve">项目记录</x:t>
        </x:is>
      </x:c>
      <x:c r="B15" s="4" t="inlineStr">
        <x:is>
          <x:t xml:space="preserve">项目ID、SKU及参数差异、共用成果ID、独立工作依据、责任人及分配、验收、已结算金额；跨月保持原关联。</x:t>
        </x:is>
      </x:c>
    </x:row>
    <x:row r="16" ht="85" customHeight="1">
      <x:c r="A16" s="8" t="inlineStr">
        <x:is>
          <x:t xml:space="preserve">多人合作分配</x:t>
        </x:is>
      </x:c>
      <x:c r="B16" s="8" t="inlineStr">
        <x:is>
          <x:t xml:space="preserve">同一交付由多人共同完成，先核定该交付的总金额，再按已确认贡献分配，份额合计100%。不同人员分别完成不同独立交付，例如甲策划、乙上架，则各按对应项目计酬；不要求所有协作一律合成一项。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32" customWidth="1"/>
    <x:col min="2" max="2" width="24" customWidth="1"/>
    <x:col min="3" max="3" width="18" customWidth="1"/>
    <x:col min="4" max="4" width="15" customWidth="1"/>
    <x:col min="5" max="5" width="12" customWidth="1"/>
    <x:col min="6" max="6" width="18" customWidth="1"/>
    <x:col min="7" max="7" width="85" customWidth="1"/>
  </x:cols>
  <x:sheetData>
    <x:row r="2" ht="28" customHeight="1">
      <x:c r="A2" s="1" t="inlineStr">
        <x:is>
          <x:t xml:space="preserve">场景示例</x:t>
        </x:is>
      </x:c>
    </x:row>
    <x:row r="3" ht="23" customHeight="1">
      <x:c r="A3" s="2" t="inlineStr">
        <x:is>
          <x:t xml:space="preserve">全部示例直接显示人民币元；主动倍率已经包含在总金额中，不另加一份普通任务报酬。</x:t>
        </x:is>
      </x:c>
    </x:row>
    <x:row r="4" ht="23" customHeight="1">
      <x:c r="A4" s="2" t="inlineStr">
        <x:is>
          <x:t xml:space="preserve">本页不代表实际员工结算记录。真实已付部分须扣除，只补正差额。</x:t>
        </x:is>
      </x:c>
    </x:row>
    <x:row r="5" ht="23" customHeight="1">
      <x:c r="A5" s="2" t="inlineStr">
        <x:is>
          <x:t xml:space="preserve">销售提成仍需确认项目比例、成本口径、期限及个人份额，未确认不作为实发。</x:t>
        </x:is>
      </x:c>
    </x:row>
    <x:row r="6" ht="23" customHeight="1">
      <x:c r="A6" s="2" t="str">
        <x:v>研发示例按获批阶段累计结算；常规阶段250元，突破和投产各按独立条件另奖500元，不重复计同一阶段及付款节点。</x:v>
      </x:c>
    </x:row>
    <x:row r="7" ht="48" customHeight="1">
      <x:c r="A7" s="7" t="inlineStr">
        <x:is>
          <x:t xml:space="preserve">场景</x:t>
        </x:is>
      </x:c>
      <x:c r="B7" s="7" t="inlineStr">
        <x:is>
          <x:t xml:space="preserve">项目</x:t>
        </x:is>
      </x:c>
      <x:c r="C7" s="7" t="inlineStr">
        <x:is>
          <x:t xml:space="preserve">单位/累计金额（元）</x:t>
        </x:is>
      </x:c>
      <x:c r="D7" s="7" t="inlineStr">
        <x:is>
          <x:t xml:space="preserve">数量/份额/历史已付</x:t>
        </x:is>
      </x:c>
      <x:c r="E7" s="7" t="inlineStr">
        <x:is>
          <x:t xml:space="preserve">倍率</x:t>
        </x:is>
      </x:c>
      <x:c r="F7" s="7" t="inlineStr">
        <x:is>
          <x:t xml:space="preserve">总金额（元）</x:t>
        </x:is>
      </x:c>
      <x:c r="G7" s="7" t="inlineStr">
        <x:is>
          <x:t xml:space="preserve">边界</x:t>
        </x:is>
      </x:c>
    </x:row>
    <x:row r="8" ht="85" customHeight="1">
      <x:c r="A8" s="8" t="inlineStr">
        <x:is>
          <x:t xml:space="preserve">1个上架组</x:t>
        </x:is>
      </x:c>
      <x:c r="B8" s="8" t="inlineStr">
        <x:is>
          <x:t xml:space="preserve">P001</x:t>
        </x:is>
      </x:c>
      <x:c r="C8" s="8" t="n">
        <x:v>25</x:v>
      </x:c>
      <x:c r="D8" s="8" t="n">
        <x:v>1</x:v>
      </x:c>
      <x:c r="E8" s="8" t="n">
        <x:v>1</x:v>
      </x:c>
      <x:c r="F8" s="8" t="n">
        <x:f>C8*D8*E8</x:f>
        <x:v>25</x:v>
      </x:c>
      <x:c r="G8" s="8" t="inlineStr">
        <x:is>
          <x:t xml:space="preserve">同站点可共用模板，1或多个SKU都按实际组计，不按数量增加。</x:t>
        </x:is>
      </x:c>
    </x:row>
    <x:row r="9" ht="85" customHeight="1">
      <x:c r="A9" s="4" t="inlineStr">
        <x:is>
          <x:t xml:space="preserve">5个SKU已有图片上传</x:t>
        </x:is>
      </x:c>
      <x:c r="B9" s="4" t="inlineStr">
        <x:is>
          <x:t xml:space="preserve">P002-a</x:t>
        </x:is>
      </x:c>
      <x:c r="C9" s="4" t="n">
        <x:v>10</x:v>
      </x:c>
      <x:c r="D9" s="4" t="n">
        <x:v>5</x:v>
      </x:c>
      <x:c r="E9" s="4" t="n">
        <x:v>1</x:v>
      </x:c>
      <x:c r="F9" s="4" t="n">
        <x:f>C9*D9*E9</x:f>
        <x:v>50</x:v>
      </x:c>
      <x:c r="G9" s="4" t="inlineStr">
        <x:is>
          <x:t xml:space="preserve">5个SKU×10元＝50元，无额外取图协调。</x:t>
        </x:is>
      </x:c>
    </x:row>
    <x:row r="10" ht="85" customHeight="1">
      <x:c r="A10" s="8" t="inlineStr">
        <x:is>
          <x:t xml:space="preserve">A+模板制作</x:t>
        </x:is>
      </x:c>
      <x:c r="B10" s="8" t="inlineStr">
        <x:is>
          <x:t xml:space="preserve">P011-a</x:t>
        </x:is>
      </x:c>
      <x:c r="C10" s="8" t="n">
        <x:v>15</x:v>
      </x:c>
      <x:c r="D10" s="8" t="n">
        <x:v>1</x:v>
      </x:c>
      <x:c r="E10" s="8" t="n">
        <x:v>1</x:v>
      </x:c>
      <x:c r="F10" s="8" t="n">
        <x:f>C10*D10*E10</x:f>
        <x:v>15</x:v>
      </x:c>
      <x:c r="G10" s="8" t="inlineStr">
        <x:is>
          <x:t xml:space="preserve">仅模板适配，不能算全新25元。</x:t>
        </x:is>
      </x:c>
    </x:row>
    <x:row r="11" ht="85" customHeight="1">
      <x:c r="A11" s="4" t="inlineStr">
        <x:is>
          <x:t xml:space="preserve">主动完全重做A+</x:t>
        </x:is>
      </x:c>
      <x:c r="B11" s="4" t="inlineStr">
        <x:is>
          <x:t xml:space="preserve">P011-b</x:t>
        </x:is>
      </x:c>
      <x:c r="C11" s="4" t="n">
        <x:v>25</x:v>
      </x:c>
      <x:c r="D11" s="4" t="n">
        <x:v>1</x:v>
      </x:c>
      <x:c r="E11" s="4" t="n">
        <x:v>2</x:v>
      </x:c>
      <x:c r="F11" s="4" t="n">
        <x:f>C11*D11*E11</x:f>
        <x:v>50</x:v>
      </x:c>
      <x:c r="G11" s="4" t="inlineStr">
        <x:is>
          <x:t xml:space="preserve">有自主分析、实质重做和复盘依据，新旧版本留档。</x:t>
        </x:is>
      </x:c>
    </x:row>
    <x:row r="12" ht="85" customHeight="1">
      <x:c r="A12" s="8" t="inlineStr">
        <x:is>
          <x:t xml:space="preserve">Listing同因5ASIN可合批</x:t>
        </x:is>
      </x:c>
      <x:c r="B12" s="8" t="inlineStr">
        <x:is>
          <x:t xml:space="preserve">P025-b</x:t>
        </x:is>
      </x:c>
      <x:c r="C12" s="8" t="n">
        <x:v>20</x:v>
      </x:c>
      <x:c r="D12" s="8" t="n">
        <x:v>1</x:v>
      </x:c>
      <x:c r="E12" s="8" t="n">
        <x:v>1</x:v>
      </x:c>
      <x:c r="F12" s="8" t="n">
        <x:f>C12*D12*E12</x:f>
        <x:v>20</x:v>
      </x:c>
      <x:c r="G12" s="8" t="inlineStr">
        <x:is>
          <x:t xml:space="preserve">可共同处理只计一批20元。</x:t>
        </x:is>
      </x:c>
    </x:row>
    <x:row r="13" ht="85" customHeight="1">
      <x:c r="A13" s="4" t="inlineStr">
        <x:is>
          <x:t xml:space="preserve">Listing必要逐ASIN执行</x:t>
        </x:is>
      </x:c>
      <x:c r="B13" s="4" t="inlineStr">
        <x:is>
          <x:t xml:space="preserve">P025-b及ADD</x:t>
        </x:is>
      </x:c>
      <x:c r="C13" s="4" t="n">
        <x:v>40</x:v>
      </x:c>
      <x:c r="D13" s="4" t="n">
        <x:v>1</x:v>
      </x:c>
      <x:c r="E13" s="4" t="n">
        <x:v>1</x:v>
      </x:c>
      <x:c r="F13" s="4" t="n">
        <x:f>C13*D13*E13</x:f>
        <x:v>40</x:v>
      </x:c>
      <x:c r="G13" s="4" t="inlineStr">
        <x:is>
          <x:t xml:space="preserve">独立排查20元＋额外4个ASIN各5元＝40元。</x:t>
        </x:is>
      </x:c>
    </x:row>
    <x:row r="14" ht="85" customHeight="1">
      <x:c r="A14" s="8" t="inlineStr">
        <x:is>
          <x:t xml:space="preserve">主动Listing同因逐项执行</x:t>
        </x:is>
      </x:c>
      <x:c r="B14" s="8" t="inlineStr">
        <x:is>
          <x:t xml:space="preserve">P025-b及ADD</x:t>
        </x:is>
      </x:c>
      <x:c r="C14" s="8" t="n">
        <x:v>40</x:v>
      </x:c>
      <x:c r="D14" s="8" t="n">
        <x:v>1</x:v>
      </x:c>
      <x:c r="E14" s="8" t="n">
        <x:v>1.5</x:v>
      </x:c>
      <x:c r="F14" s="8" t="n">
        <x:f>C14*D14*E14</x:f>
        <x:v>60</x:v>
      </x:c>
      <x:c r="G14" s="8" t="inlineStr">
        <x:is>
          <x:t xml:space="preserve">同批40元×主动倍率1.5＝60元。</x:t>
        </x:is>
      </x:c>
    </x:row>
    <x:row r="15" ht="85" customHeight="1">
      <x:c r="A15" s="4" t="inlineStr">
        <x:is>
          <x:t xml:space="preserve">广告同轮有效扩大销售</x:t>
        </x:is>
      </x:c>
      <x:c r="B15" s="4" t="inlineStr">
        <x:is>
          <x:t xml:space="preserve">P024-e</x:t>
        </x:is>
      </x:c>
      <x:c r="C15" s="4" t="n">
        <x:v>50</x:v>
      </x:c>
      <x:c r="D15" s="4" t="n">
        <x:v>1</x:v>
      </x:c>
      <x:c r="E15" s="4" t="n">
        <x:v>1</x:v>
      </x:c>
      <x:c r="F15" s="4" t="n">
        <x:f>C15*D15*E15</x:f>
        <x:v>50</x:v>
      </x:c>
      <x:c r="G15" s="4" t="inlineStr">
        <x:is>
          <x:t xml:space="preserve">已结算25元则只补25元；此列为同轮总额。</x:t>
        </x:is>
      </x:c>
    </x:row>
    <x:row r="16" ht="85" customHeight="1">
      <x:c r="A16" s="8" t="str">
        <x:v>两个研究阶段</x:v>
      </x:c>
      <x:c r="B16" s="8" t="inlineStr">
        <x:is>
          <x:t xml:space="preserve">RD01</x:t>
        </x:is>
      </x:c>
      <x:c r="C16" s="8" t="n">
        <x:v>250</x:v>
      </x:c>
      <x:c r="D16" s="8" t="n">
        <x:v>2</x:v>
      </x:c>
      <x:c r="E16" s="8" t="n">
        <x:v>1</x:v>
      </x:c>
      <x:c r="F16" s="8" t="n">
        <x:f>C16*D16*E16</x:f>
        <x:v>500</x:v>
      </x:c>
      <x:c r="G16" s="8" t="str">
        <x:v>两项独立获批并验收的研究阶段各250元，共500元；不将同阶段的三个节点当成三个阶段。</x:v>
      </x:c>
    </x:row>
    <x:row r="17" ht="85" customHeight="1">
      <x:c r="A17" s="4" t="inlineStr">
        <x:is>
          <x:t xml:space="preserve">关键突破</x:t>
        </x:is>
      </x:c>
      <x:c r="B17" s="4" t="inlineStr">
        <x:is>
          <x:t xml:space="preserve">RD02</x:t>
        </x:is>
      </x:c>
      <x:c r="C17" s="4" t="n">
        <x:v>500</x:v>
      </x:c>
      <x:c r="D17" s="4" t="n">
        <x:v>1</x:v>
      </x:c>
      <x:c r="E17" s="4" t="n">
        <x:v>1</x:v>
      </x:c>
      <x:c r="F17" s="4" t="n">
        <x:f>C17*D17*E17</x:f>
        <x:v>500</x:v>
      </x:c>
      <x:c r="G17" s="4" t="inlineStr">
        <x:is>
          <x:t xml:space="preserve">示例已按立项确认500元，并通过验证。</x:t>
        </x:is>
      </x:c>
    </x:row>
    <x:row r="18" ht="85" customHeight="1">
      <x:c r="A18" s="8" t="inlineStr">
        <x:is>
          <x:t xml:space="preserve">投产</x:t>
        </x:is>
      </x:c>
      <x:c r="B18" s="8" t="inlineStr">
        <x:is>
          <x:t xml:space="preserve">RD03</x:t>
        </x:is>
      </x:c>
      <x:c r="C18" s="8" t="n">
        <x:v>500</x:v>
      </x:c>
      <x:c r="D18" s="8" t="n">
        <x:v>1</x:v>
      </x:c>
      <x:c r="E18" s="8" t="n">
        <x:v>1</x:v>
      </x:c>
      <x:c r="F18" s="8" t="n">
        <x:f>C18*D18*E18</x:f>
        <x:v>500</x:v>
      </x:c>
      <x:c r="G18" s="8" t="inlineStr">
        <x:is>
          <x:t xml:space="preserve">示例已确认500元，首批验收通过。</x:t>
        </x:is>
      </x:c>
    </x:row>
    <x:row r="19" ht="85" customHeight="1">
      <x:c r="A19" s="4" t="inlineStr">
        <x:is>
          <x:t xml:space="preserve">5个SKU共用一次普通取图</x:t>
        </x:is>
      </x:c>
      <x:c r="B19" s="4" t="inlineStr">
        <x:is>
          <x:t xml:space="preserve">P002-b</x:t>
        </x:is>
      </x:c>
      <x:c r="C19" s="4" t="n">
        <x:v>55</x:v>
      </x:c>
      <x:c r="D19" s="4" t="n">
        <x:v>1</x:v>
      </x:c>
      <x:c r="E19" s="4" t="n">
        <x:v>1</x:v>
      </x:c>
      <x:c r="F19" s="4" t="n">
        <x:f>C19*D19*E19</x:f>
        <x:v>55</x:v>
      </x:c>
      <x:c r="G19" s="4" t="inlineStr">
        <x:is>
          <x:t xml:space="preserve">上传5×10元＋共用取图5元＝55元。不是5×15元。</x:t>
        </x:is>
      </x:c>
    </x:row>
    <x:row r="20" ht="85" customHeight="1">
      <x:c r="A20" s="8" t="inlineStr">
        <x:is>
          <x:t xml:space="preserve">5个SKU共用一次复杂取图</x:t>
        </x:is>
      </x:c>
      <x:c r="B20" s="8" t="inlineStr">
        <x:is>
          <x:t xml:space="preserve">P002-b-T4</x:t>
        </x:is>
      </x:c>
      <x:c r="C20" s="8" t="n">
        <x:v>60</x:v>
      </x:c>
      <x:c r="D20" s="8" t="n">
        <x:v>1</x:v>
      </x:c>
      <x:c r="E20" s="8" t="n">
        <x:v>1</x:v>
      </x:c>
      <x:c r="F20" s="8" t="n">
        <x:f>C20*D20*E20</x:f>
        <x:v>60</x:v>
      </x:c>
      <x:c r="G20" s="8" t="inlineStr">
        <x:is>
          <x:t xml:space="preserve">上传5×10元＋共用协调10元＝60元。不是5×20元。</x:t>
        </x:is>
      </x:c>
    </x:row>
    <x:row r="21" ht="85" customHeight="1">
      <x:c r="A21" s="4" t="inlineStr">
        <x:is>
          <x:t xml:space="preserve">两人合作研究：甲</x:t>
        </x:is>
      </x:c>
      <x:c r="B21" s="4" t="inlineStr">
        <x:is>
          <x:t xml:space="preserve">RD01</x:t>
        </x:is>
      </x:c>
      <x:c r="C21" s="4" t="n">
        <x:v>250</x:v>
      </x:c>
      <x:c r="D21" s="4" t="n">
        <x:v>0.6</x:v>
      </x:c>
      <x:c r="E21" s="4" t="n">
        <x:v>1</x:v>
      </x:c>
      <x:c r="F21" s="4" t="n">
        <x:f>C21*D21*E21</x:f>
        <x:v>150</x:v>
      </x:c>
      <x:c r="G21" s="4" t="inlineStr">
        <x:is>
          <x:t xml:space="preserve">示例甲60%得150元，乙40%得100元；同一任务总额仍为250元。</x:t>
        </x:is>
      </x:c>
    </x:row>
    <x:row r="22" ht="85" customHeight="1">
      <x:c r="A22" s="8" t="inlineStr">
        <x:is>
          <x:t xml:space="preserve">两人合作研究：乙</x:t>
        </x:is>
      </x:c>
      <x:c r="B22" s="8" t="inlineStr">
        <x:is>
          <x:t xml:space="preserve">RD01</x:t>
        </x:is>
      </x:c>
      <x:c r="C22" s="8" t="n">
        <x:v>250</x:v>
      </x:c>
      <x:c r="D22" s="8" t="n">
        <x:v>0.4</x:v>
      </x:c>
      <x:c r="E22" s="8" t="n">
        <x:v>1</x:v>
      </x:c>
      <x:c r="F22" s="8" t="n">
        <x:f>C22*D22*E22</x:f>
        <x:v>100</x:v>
      </x:c>
      <x:c r="G22" s="8" t="inlineStr">
        <x:is>
          <x:t xml:space="preserve">示例比例须按实际分工确认，不是固定按人数均分。</x:t>
        </x:is>
      </x:c>
    </x:row>
    <x:row r="23" ht="85" customHeight="1">
      <x:c r="A23" s="4" t="inlineStr">
        <x:is>
          <x:t xml:space="preserve">Brand Story局改</x:t>
        </x:is>
      </x:c>
      <x:c r="B23" s="4" t="inlineStr">
        <x:is>
          <x:t xml:space="preserve">P056-edit</x:t>
        </x:is>
      </x:c>
      <x:c r="C23" s="4" t="n">
        <x:v>10</x:v>
      </x:c>
      <x:c r="D23" s="4" t="n">
        <x:v>1</x:v>
      </x:c>
      <x:c r="E23" s="4" t="n">
        <x:v>1</x:v>
      </x:c>
      <x:c r="F23" s="4" t="n">
        <x:f>C23*D23*E23</x:f>
        <x:v>10</x:v>
      </x:c>
      <x:c r="G23" s="4" t="inlineStr">
        <x:is>
          <x:t xml:space="preserve">同份同轮局部修改合并。</x:t>
        </x:is>
      </x:c>
    </x:row>
    <x:row r="24" ht="85" customHeight="1">
      <x:c r="A24" s="8" t="inlineStr">
        <x:is>
          <x:t xml:space="preserve">Brand Story模板制作</x:t>
        </x:is>
      </x:c>
      <x:c r="B24" s="8" t="inlineStr">
        <x:is>
          <x:t xml:space="preserve">P056-template</x:t>
        </x:is>
      </x:c>
      <x:c r="C24" s="8" t="n">
        <x:v>15</x:v>
      </x:c>
      <x:c r="D24" s="8" t="n">
        <x:v>1</x:v>
      </x:c>
      <x:c r="E24" s="8" t="n">
        <x:v>1</x:v>
      </x:c>
      <x:c r="F24" s="8" t="n">
        <x:f>C24*D24*E24</x:f>
        <x:v>15</x:v>
      </x:c>
      <x:c r="G24" s="8" t="inlineStr">
        <x:is>
          <x:t xml:space="preserve">复用现成方案，主动默认×1。</x:t>
        </x:is>
      </x:c>
    </x:row>
    <x:row r="25" ht="85" customHeight="1">
      <x:c r="A25" s="4" t="inlineStr">
        <x:is>
          <x:t xml:space="preserve">Brand Story主动全新制作</x:t>
        </x:is>
      </x:c>
      <x:c r="B25" s="4" t="inlineStr">
        <x:is>
          <x:t xml:space="preserve">P056-new</x:t>
        </x:is>
      </x:c>
      <x:c r="C25" s="4" t="n">
        <x:v>25</x:v>
      </x:c>
      <x:c r="D25" s="4" t="n">
        <x:v>1</x:v>
      </x:c>
      <x:c r="E25" s="4" t="n">
        <x:v>2</x:v>
      </x:c>
      <x:c r="F25" s="4" t="n">
        <x:f>C25*D25*E25</x:f>
        <x:v>50</x:v>
      </x:c>
      <x:c r="G25" s="4" t="inlineStr">
        <x:is>
          <x:t xml:space="preserve">满足主动分析、实质制作及复盘条件，总报酬50元。</x:t>
        </x:is>
      </x:c>
    </x:row>
    <x:row r="26" ht="85" customHeight="1">
      <x:c r="A26" s="8" t="inlineStr">
        <x:is>
          <x:t xml:space="preserve">广告75元升级100元</x:t>
        </x:is>
      </x:c>
      <x:c r="B26" s="8" t="inlineStr">
        <x:is>
          <x:t xml:space="preserve">同案补差</x:t>
        </x:is>
      </x:c>
      <x:c r="C26" s="8" t="n">
        <x:v>100</x:v>
      </x:c>
      <x:c r="D26" s="8" t="n">
        <x:v>75</x:v>
      </x:c>
      <x:c r="E26" s="8" t="n">
        <x:v>1</x:v>
      </x:c>
      <x:c r="F26" s="8" t="n">
        <x:f>MAX(0,C26-D26)*E26</x:f>
        <x:v>25</x:v>
      </x:c>
      <x:c r="G26" s="8" t="inlineStr">
        <x:is>
          <x:t xml:space="preserve">累计100元－历史已付75元＝本次25元。</x:t>
        </x:is>
      </x:c>
    </x:row>
    <x:row r="27" ht="85" customHeight="1">
      <x:c r="A27" s="4" t="inlineStr">
        <x:is>
          <x:t xml:space="preserve">广告100元升级300元</x:t>
        </x:is>
      </x:c>
      <x:c r="B27" s="4" t="inlineStr">
        <x:is>
          <x:t xml:space="preserve">同案补差</x:t>
        </x:is>
      </x:c>
      <x:c r="C27" s="4" t="n">
        <x:v>300</x:v>
      </x:c>
      <x:c r="D27" s="4" t="n">
        <x:v>100</x:v>
      </x:c>
      <x:c r="E27" s="4" t="n">
        <x:v>1</x:v>
      </x:c>
      <x:c r="F27" s="4" t="n">
        <x:f>MAX(0,C27-D27)*E27</x:f>
        <x:v>200</x:v>
      </x:c>
      <x:c r="G27" s="4" t="inlineStr">
        <x:is>
          <x:t xml:space="preserve">累计300元－历史已付100元＝本次200元。</x:t>
        </x:is>
      </x:c>
    </x:row>
    <x:row r="28" ht="85" customHeight="1">
      <x:c r="A28" s="8" t="inlineStr">
        <x:is>
          <x:t xml:space="preserve">先领成果100元后核广告75元</x:t>
        </x:is>
      </x:c>
      <x:c r="B28" s="8" t="inlineStr">
        <x:is>
          <x:t xml:space="preserve">同案补差</x:t>
        </x:is>
      </x:c>
      <x:c r="C28" s="8" t="n">
        <x:v>100</x:v>
      </x:c>
      <x:c r="D28" s="8" t="n">
        <x:v>100</x:v>
      </x:c>
      <x:c r="E28" s="8" t="n">
        <x:v>1</x:v>
      </x:c>
      <x:c r="F28" s="8" t="n">
        <x:f>MAX(0,C28-D28)*E28</x:f>
        <x:v>0</x:v>
      </x:c>
      <x:c r="G28" s="8" t="inlineStr">
        <x:is>
          <x:t xml:space="preserve">累计较高值100元，历史已付100元，不再付款。</x:t>
        </x:is>
      </x:c>
    </x:row>
    <x:row r="29" ht="115" customHeight="1">
      <x:c r="A29" t="str">
        <x:v>研究阶段完整完成</x:v>
      </x:c>
      <x:c r="B29" t="str">
        <x:v>同一阶段总额</x:v>
      </x:c>
      <x:c r="C29" t="n">
        <x:v>250</x:v>
      </x:c>
      <x:c r="D29" t="n">
        <x:v>1</x:v>
      </x:c>
      <x:c r="E29" t="n">
        <x:v>1</x:v>
      </x:c>
      <x:c r="F29" t="n">
        <x:f>C29*D29*E29</x:f>
        <x:v>250</x:v>
      </x:c>
      <x:c r="G29" t="str">
        <x:v>N1 50元＋N2 150元＋N3 50元＝250元；RD01、RS分类行不再另加250元。</x:v>
      </x:c>
    </x:row>
    <x:row r="30" ht="115" customHeight="1">
      <x:c r="A30" t="str">
        <x:v>阶段提前排除不可行路线</x:v>
      </x:c>
      <x:c r="B30" t="str">
        <x:v>N1及N3</x:v>
      </x:c>
      <x:c r="C30" t="n">
        <x:v>100</x:v>
      </x:c>
      <x:c r="D30" t="n">
        <x:v>1</x:v>
      </x:c>
      <x:c r="E30" t="n">
        <x:v>1</x:v>
      </x:c>
      <x:c r="F30" t="n">
        <x:f>C30*D30*E30</x:f>
        <x:v>100</x:v>
      </x:c>
      <x:c r="G30" t="str">
        <x:v>已验收方案50元及有效结论50元；N2未做不领取150元。已领其中金额时只付剩余差额。</x:v>
      </x:c>
    </x:row>
    <x:row r="31" ht="115" customHeight="1">
      <x:c r="A31" t="str">
        <x:v>复杂阶段获批500元</x:v>
      </x:c>
      <x:c r="B31" t="str">
        <x:v>节点分配</x:v>
      </x:c>
      <x:c r="C31" t="n">
        <x:v>500</x:v>
      </x:c>
      <x:c r="D31" t="n">
        <x:v>1</x:v>
      </x:c>
      <x:c r="E31" t="n">
        <x:v>1</x:v>
      </x:c>
      <x:c r="F31" t="n">
        <x:f>C31*D31*E31</x:f>
        <x:v>500</x:v>
      </x:c>
      <x:c r="G31" t="str">
        <x:v>开始前批准总额500元，节点按20%/60%/20%分配100/300/100元。不是未经确认自动翻倍。</x:v>
      </x:c>
    </x:row>
  </x:sheetData>
  <x:pageMargins left="0.7" right="0.7" top="0.75" bottom="0.75" header="0.3" footer="0.3"/>
</x:worksheet>
</file>