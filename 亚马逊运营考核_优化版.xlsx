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运营工作明细" sheetId="1" state="visible" r:id="rId1"/>
    <sheet name="任务评分" sheetId="2" state="visible" r:id="rId2"/>
    <sheet name="主动改善评价" sheetId="3" state="visible" r:id="rId3"/>
    <sheet name="场景示例" sheetId="4" state="visible" r:id="rId4"/>
    <sheet name="优化登记与复盘规则" sheetId="5" state="visible" r:id="rId5"/>
    <sheet name="广告优化认定规则（已归档）" sheetId="6" state="visible" r:id="rId6"/>
    <sheet name="改善成果奖励" sheetId="7" state="visible" r:id="rId7"/>
    <sheet name="系列开发计酬" sheetId="8" state="visible" r:id="rId8"/>
  </sheets>
  <definedNames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0&quot;元&quot;"/>
    <numFmt numFmtId="166" formatCode="0.0&quot;倍&quot;"/>
  </numFmts>
  <fonts count="46">
    <font>
      <name val="Carlito"/>
      <sz val="11"/>
    </font>
    <font>
      <name val="Microsoft YaHei"/>
      <b val="1"/>
      <color rgb="FFFFFFFF"/>
      <sz val="11"/>
    </font>
    <font>
      <name val="Microsoft YaHei"/>
      <sz val="10"/>
    </font>
    <font>
      <name val="Arial"/>
      <b val="1"/>
      <color rgb="FFFF0000"/>
      <sz val="11"/>
    </font>
    <font>
      <name val="Arial"/>
      <b val="1"/>
      <color rgb="FF1F4E78"/>
      <sz val="14"/>
    </font>
    <font>
      <name val="Arial"/>
      <color rgb="FF475569"/>
      <sz val="10"/>
    </font>
    <font>
      <name val="Microsoft YaHei"/>
      <b val="1"/>
      <color rgb="FFFFFFFF"/>
      <sz val="10"/>
    </font>
    <font>
      <name val="Microsoft YaHei"/>
      <color rgb="FF1F2937"/>
      <sz val="10"/>
    </font>
    <font>
      <name val="Microsoft YaHei"/>
      <b val="1"/>
      <color rgb="FF1F4E78"/>
      <sz val="10"/>
    </font>
    <font>
      <name val="Microsoft YaHei"/>
      <color rgb="FF475569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color rgb="FF1F2937"/>
      <sz val="10"/>
    </font>
    <font>
      <name val="Arial"/>
      <b val="1"/>
      <color rgb="FFFF0000"/>
      <sz val="10"/>
    </font>
    <font>
      <name val="Arial"/>
      <b val="1"/>
      <color rgb="FF1F4E78"/>
      <sz val="11"/>
    </font>
    <font>
      <name val="Arial"/>
      <b val="1"/>
      <color rgb="FFFFFFFF"/>
      <sz val="10"/>
    </font>
    <font>
      <name val="微软雅黑"/>
      <sz val="9"/>
    </font>
    <font>
      <name val="微软雅黑"/>
      <color rgb="FF1F2937"/>
      <sz val="9"/>
    </font>
    <font>
      <name val="微软雅黑"/>
      <b val="1"/>
      <color rgb="FF1F4E78"/>
      <sz val="9"/>
    </font>
    <font>
      <name val="微软雅黑"/>
      <color rgb="FF475569"/>
      <sz val="9"/>
    </font>
    <font>
      <name val="Arial"/>
      <b val="1"/>
      <sz val="12"/>
    </font>
    <font>
      <name val="Arial"/>
      <b val="1"/>
      <sz val="14"/>
    </font>
    <font>
      <name val="Microsoft YaHei"/>
      <b val="1"/>
      <color rgb="FF1F2937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Microsoft YaHei"/>
      <sz val="11"/>
    </font>
    <font>
      <name val="Microsoft YaHei"/>
      <color rgb="FFFFFFFF"/>
      <sz val="11"/>
    </font>
    <font>
      <name val="Microsoft YaHei"/>
      <b val="1"/>
      <sz val="11"/>
    </font>
  </fonts>
  <fills count="4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8EFF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2CC"/>
        <bgColor rgb="FFFFF2CC"/>
      </patternFill>
    </fill>
  </fills>
  <borders count="18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top style="thin">
        <color auto="1"/>
      </top>
    </border>
    <border>
      <right style="thin">
        <color auto="1"/>
      </right>
      <top style="thin">
        <color auto="1"/>
      </top>
    </border>
    <border>
      <left style="thin"/>
      <right style="thin"/>
      <top style="thin"/>
      <bottom style="thin"/>
    </border>
  </borders>
  <cellStyleXfs count="50">
    <xf numFmtId="0" fontId="24" fillId="0" borderId="0" applyAlignment="1">
      <alignment vertical="center"/>
    </xf>
    <xf numFmtId="43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41" fontId="24" fillId="0" borderId="0" applyAlignment="1">
      <alignment vertical="center"/>
    </xf>
    <xf numFmtId="42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4" fillId="9" borderId="7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8" applyAlignment="1">
      <alignment vertical="center"/>
    </xf>
    <xf numFmtId="0" fontId="31" fillId="0" borderId="8" applyAlignment="1">
      <alignment vertical="center"/>
    </xf>
    <xf numFmtId="0" fontId="32" fillId="0" borderId="9" applyAlignment="1">
      <alignment vertical="center"/>
    </xf>
    <xf numFmtId="0" fontId="32" fillId="0" borderId="0" applyAlignment="1">
      <alignment vertical="center"/>
    </xf>
    <xf numFmtId="0" fontId="33" fillId="10" borderId="10" applyAlignment="1">
      <alignment vertical="center"/>
    </xf>
    <xf numFmtId="0" fontId="34" fillId="6" borderId="11" applyAlignment="1">
      <alignment vertical="center"/>
    </xf>
    <xf numFmtId="0" fontId="35" fillId="6" borderId="10" applyAlignment="1">
      <alignment vertical="center"/>
    </xf>
    <xf numFmtId="0" fontId="36" fillId="11" borderId="12" applyAlignment="1">
      <alignment vertical="center"/>
    </xf>
    <xf numFmtId="0" fontId="37" fillId="0" borderId="13" applyAlignment="1">
      <alignment vertical="center"/>
    </xf>
    <xf numFmtId="0" fontId="38" fillId="0" borderId="14" applyAlignment="1">
      <alignment vertical="center"/>
    </xf>
    <xf numFmtId="0" fontId="39" fillId="12" borderId="0" applyAlignment="1">
      <alignment vertical="center"/>
    </xf>
    <xf numFmtId="0" fontId="40" fillId="13" borderId="0" applyAlignment="1">
      <alignment vertical="center"/>
    </xf>
    <xf numFmtId="0" fontId="41" fillId="14" borderId="0" applyAlignment="1">
      <alignment vertical="center"/>
    </xf>
    <xf numFmtId="0" fontId="42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42" fillId="18" borderId="0" applyAlignment="1">
      <alignment vertical="center"/>
    </xf>
    <xf numFmtId="0" fontId="42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42" fillId="22" borderId="0" applyAlignment="1">
      <alignment vertical="center"/>
    </xf>
    <xf numFmtId="0" fontId="42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42" fillId="26" borderId="0" applyAlignment="1">
      <alignment vertical="center"/>
    </xf>
    <xf numFmtId="0" fontId="42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42" fillId="30" borderId="0" applyAlignment="1">
      <alignment vertical="center"/>
    </xf>
    <xf numFmtId="0" fontId="42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42" fillId="34" borderId="0" applyAlignment="1">
      <alignment vertical="center"/>
    </xf>
    <xf numFmtId="0" fontId="42" fillId="35" borderId="0" applyAlignment="1">
      <alignment vertical="center"/>
    </xf>
    <xf numFmtId="0" fontId="24" fillId="36" borderId="0" applyAlignment="1">
      <alignment vertical="center"/>
    </xf>
    <xf numFmtId="0" fontId="24" fillId="37" borderId="0" applyAlignment="1">
      <alignment vertical="center"/>
    </xf>
    <xf numFmtId="0" fontId="42" fillId="38" borderId="0" applyAlignment="1">
      <alignment vertical="center"/>
    </xf>
    <xf numFmtId="0" fontId="0" fillId="0" borderId="0"/>
  </cellStyleXfs>
  <cellXfs count="135">
    <xf numFmtId="0" fontId="0" fillId="0" borderId="0" pivotButton="0" quotePrefix="0" xfId="49"/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4" fillId="0" borderId="0" pivotButton="0" quotePrefix="0" xfId="49"/>
    <xf numFmtId="0" fontId="5" fillId="0" borderId="0" pivotButton="0" quotePrefix="0" xfId="49"/>
    <xf numFmtId="0" fontId="6" fillId="4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164" fontId="7" fillId="3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horizontal="right" vertical="center" wrapText="1"/>
    </xf>
    <xf numFmtId="1" fontId="7" fillId="0" borderId="0" applyAlignment="1" pivotButton="0" quotePrefix="0" xfId="0">
      <alignment horizontal="right" vertical="center" wrapText="1"/>
    </xf>
    <xf numFmtId="2" fontId="7" fillId="0" borderId="0" applyAlignment="1" pivotButton="0" quotePrefix="0" xfId="0">
      <alignment horizontal="right" vertical="center" wrapText="1"/>
    </xf>
    <xf numFmtId="1" fontId="7" fillId="3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2" fontId="8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0" fillId="3" borderId="0" pivotButton="0" quotePrefix="0" xfId="0"/>
    <xf numFmtId="164" fontId="0" fillId="0" borderId="0" pivotButton="0" quotePrefix="0" xfId="0"/>
    <xf numFmtId="0" fontId="10" fillId="0" borderId="0" pivotButton="0" quotePrefix="0" xfId="0"/>
    <xf numFmtId="0" fontId="11" fillId="5" borderId="1" applyAlignment="1" pivotButton="0" quotePrefix="0" xfId="0">
      <alignment horizontal="center" vertical="center"/>
    </xf>
    <xf numFmtId="0" fontId="12" fillId="0" borderId="1" applyAlignment="1" pivotButton="0" quotePrefix="0" xfId="49">
      <alignment vertical="top" wrapText="1"/>
    </xf>
    <xf numFmtId="0" fontId="12" fillId="0" borderId="1" applyAlignment="1" pivotButton="0" quotePrefix="0" xfId="49">
      <alignment horizontal="center" vertical="center"/>
    </xf>
    <xf numFmtId="0" fontId="12" fillId="0" borderId="1" applyAlignment="1" pivotButton="0" quotePrefix="0" xfId="0">
      <alignment vertical="top" wrapText="1"/>
    </xf>
    <xf numFmtId="0" fontId="12" fillId="0" borderId="1" applyAlignment="1" pivotButton="0" quotePrefix="0" xfId="0">
      <alignment horizontal="center" vertical="center"/>
    </xf>
    <xf numFmtId="0" fontId="10" fillId="0" borderId="0" pivotButton="0" quotePrefix="0" xfId="49"/>
    <xf numFmtId="0" fontId="11" fillId="6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pivotButton="0" quotePrefix="0" xfId="49"/>
    <xf numFmtId="0" fontId="14" fillId="0" borderId="0" pivotButton="0" quotePrefix="0" xfId="49"/>
    <xf numFmtId="0" fontId="15" fillId="0" borderId="0" pivotButton="0" quotePrefix="0" xfId="49"/>
    <xf numFmtId="0" fontId="16" fillId="4" borderId="0" applyAlignment="1" pivotButton="0" quotePrefix="0" xfId="49">
      <alignment horizontal="center" vertical="center" wrapText="1"/>
    </xf>
    <xf numFmtId="0" fontId="13" fillId="0" borderId="0" applyAlignment="1" pivotButton="0" quotePrefix="0" xfId="49">
      <alignment vertical="center" wrapText="1"/>
    </xf>
    <xf numFmtId="164" fontId="13" fillId="3" borderId="0" applyAlignment="1" pivotButton="0" quotePrefix="0" xfId="49">
      <alignment horizontal="center" vertical="center" wrapText="1"/>
    </xf>
    <xf numFmtId="0" fontId="13" fillId="0" borderId="0" applyAlignment="1" pivotButton="0" quotePrefix="0" xfId="49">
      <alignment horizontal="center" vertical="center" wrapText="1"/>
    </xf>
    <xf numFmtId="1" fontId="13" fillId="0" borderId="0" applyAlignment="1" pivotButton="0" quotePrefix="0" xfId="49">
      <alignment horizontal="center" vertical="center" wrapText="1"/>
    </xf>
    <xf numFmtId="0" fontId="17" fillId="0" borderId="0" applyAlignment="1" pivotButton="0" quotePrefix="0" xfId="49">
      <alignment vertical="center"/>
    </xf>
    <xf numFmtId="0" fontId="17" fillId="0" borderId="0" pivotButton="0" quotePrefix="0" xfId="49"/>
    <xf numFmtId="0" fontId="18" fillId="0" borderId="0" pivotButton="0" quotePrefix="0" xfId="49"/>
    <xf numFmtId="0" fontId="19" fillId="0" borderId="0" pivotButton="0" quotePrefix="0" xfId="49"/>
    <xf numFmtId="0" fontId="20" fillId="0" borderId="0" pivotButton="0" quotePrefix="0" xfId="49"/>
    <xf numFmtId="0" fontId="7" fillId="0" borderId="0" applyAlignment="1" pivotButton="0" quotePrefix="0" xfId="0">
      <alignment vertical="top" wrapText="1"/>
    </xf>
    <xf numFmtId="164" fontId="7" fillId="3" borderId="0" applyAlignment="1" pivotButton="0" quotePrefix="0" xfId="0">
      <alignment vertical="top" wrapText="1"/>
    </xf>
    <xf numFmtId="164" fontId="8" fillId="0" borderId="0" applyAlignment="1" pivotButton="0" quotePrefix="0" xfId="0">
      <alignment vertical="top" wrapText="1"/>
    </xf>
    <xf numFmtId="0" fontId="21" fillId="0" borderId="0" pivotButton="0" quotePrefix="0" xfId="0"/>
    <xf numFmtId="0" fontId="12" fillId="0" borderId="0" applyAlignment="1" pivotButton="0" quotePrefix="0" xfId="0">
      <alignment vertical="top" wrapText="1"/>
    </xf>
    <xf numFmtId="0" fontId="16" fillId="7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11" fillId="8" borderId="1" applyAlignment="1" pivotButton="0" quotePrefix="0" xfId="0">
      <alignment vertical="top" wrapText="1"/>
    </xf>
    <xf numFmtId="0" fontId="22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6" fillId="4" borderId="4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center" vertical="center" wrapText="1"/>
    </xf>
    <xf numFmtId="0" fontId="2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/>
    </xf>
    <xf numFmtId="165" fontId="7" fillId="3" borderId="0" applyAlignment="1" pivotButton="0" quotePrefix="0" xfId="0">
      <alignment horizontal="right" vertical="center" wrapText="1"/>
    </xf>
    <xf numFmtId="165" fontId="8" fillId="0" borderId="0" applyAlignment="1" pivotButton="0" quotePrefix="0" xfId="0">
      <alignment horizontal="right" vertical="center" wrapText="1"/>
    </xf>
    <xf numFmtId="165" fontId="7" fillId="3" borderId="0" applyAlignment="1" pivotButton="0" quotePrefix="0" xfId="0">
      <alignment vertical="top" wrapText="1"/>
    </xf>
    <xf numFmtId="165" fontId="8" fillId="0" borderId="0" applyAlignment="1" pivotButton="0" quotePrefix="0" xfId="0">
      <alignment vertical="top" wrapText="1"/>
    </xf>
    <xf numFmtId="165" fontId="7" fillId="0" borderId="0" applyAlignment="1" pivotButton="0" quotePrefix="0" xfId="0">
      <alignment horizontal="right" vertical="center" wrapText="1"/>
    </xf>
    <xf numFmtId="165" fontId="2" fillId="0" borderId="0" applyAlignment="1" pivotButton="0" quotePrefix="0" xfId="0">
      <alignment vertical="center" wrapText="1"/>
    </xf>
    <xf numFmtId="165" fontId="0" fillId="3" borderId="0" pivotButton="0" quotePrefix="0" xfId="0"/>
    <xf numFmtId="165" fontId="0" fillId="0" borderId="0" pivotButton="0" quotePrefix="0" xfId="0"/>
    <xf numFmtId="165" fontId="12" fillId="0" borderId="1" applyAlignment="1" pivotButton="0" quotePrefix="0" xfId="0">
      <alignment horizontal="center" vertical="center"/>
    </xf>
    <xf numFmtId="165" fontId="8" fillId="0" borderId="0" applyAlignment="1" pivotButton="0" quotePrefix="0" xfId="0">
      <alignment vertical="center" wrapText="1"/>
    </xf>
    <xf numFmtId="166" fontId="12" fillId="0" borderId="1" applyAlignment="1" pivotButton="0" quotePrefix="0" xfId="0">
      <alignment horizontal="center" vertical="center"/>
    </xf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39" borderId="0" applyAlignment="1" pivotButton="0" quotePrefix="0" xfId="0">
      <alignment wrapText="1"/>
    </xf>
    <xf numFmtId="0" fontId="44" fillId="39" borderId="0" applyAlignment="1" pivotButton="0" quotePrefix="0" xfId="0">
      <alignment wrapText="1"/>
    </xf>
    <xf numFmtId="0" fontId="1" fillId="39" borderId="0" applyAlignment="1" pivotButton="0" quotePrefix="0" xfId="0">
      <alignment wrapText="1"/>
    </xf>
    <xf numFmtId="0" fontId="43" fillId="40" borderId="0" applyAlignment="1" pivotButton="0" quotePrefix="0" xfId="0">
      <alignment wrapText="1"/>
    </xf>
    <xf numFmtId="165" fontId="43" fillId="40" borderId="0" applyAlignment="1" pivotButton="0" quotePrefix="0" xfId="0">
      <alignment wrapText="1"/>
    </xf>
    <xf numFmtId="165" fontId="43" fillId="0" borderId="0" applyAlignment="1" pivotButton="0" quotePrefix="0" xfId="0">
      <alignment wrapText="1"/>
    </xf>
    <xf numFmtId="165" fontId="7" fillId="3" borderId="0" applyAlignment="1" pivotButton="0" quotePrefix="0" xfId="0">
      <alignment horizontal="right" vertical="center" wrapText="1"/>
    </xf>
    <xf numFmtId="164" fontId="7" fillId="3" borderId="0" applyAlignment="1" pivotButton="0" quotePrefix="0" xfId="0">
      <alignment horizontal="right" vertical="center" wrapText="1"/>
    </xf>
    <xf numFmtId="165" fontId="8" fillId="0" borderId="0" applyAlignment="1" pivotButton="0" quotePrefix="0" xfId="0">
      <alignment horizontal="right" vertical="center" wrapText="1"/>
    </xf>
    <xf numFmtId="165" fontId="7" fillId="3" borderId="0" applyAlignment="1" pivotButton="0" quotePrefix="0" xfId="0">
      <alignment vertical="top" wrapText="1"/>
    </xf>
    <xf numFmtId="164" fontId="7" fillId="3" borderId="0" applyAlignment="1" pivotButton="0" quotePrefix="0" xfId="0">
      <alignment vertical="top" wrapText="1"/>
    </xf>
    <xf numFmtId="165" fontId="8" fillId="0" borderId="0" applyAlignment="1" pivotButton="0" quotePrefix="0" xfId="0">
      <alignment vertical="top" wrapText="1"/>
    </xf>
    <xf numFmtId="164" fontId="8" fillId="0" borderId="0" applyAlignment="1" pivotButton="0" quotePrefix="0" xfId="0">
      <alignment horizontal="right" vertical="center" wrapText="1"/>
    </xf>
    <xf numFmtId="164" fontId="13" fillId="3" borderId="0" applyAlignment="1" pivotButton="0" quotePrefix="0" xfId="49">
      <alignment horizontal="center" vertical="center" wrapText="1"/>
    </xf>
    <xf numFmtId="165" fontId="7" fillId="0" borderId="0" applyAlignment="1" pivotButton="0" quotePrefix="0" xfId="0">
      <alignment horizontal="right" vertical="center" wrapText="1"/>
    </xf>
    <xf numFmtId="164" fontId="7" fillId="0" borderId="0" applyAlignment="1" pivotButton="0" quotePrefix="0" xfId="0">
      <alignment horizontal="right" vertical="center" wrapText="1"/>
    </xf>
    <xf numFmtId="165" fontId="8" fillId="0" borderId="0" applyAlignment="1" pivotButton="0" quotePrefix="0" xfId="0">
      <alignment vertical="center" wrapText="1"/>
    </xf>
    <xf numFmtId="165" fontId="2" fillId="0" borderId="0" applyAlignment="1" pivotButton="0" quotePrefix="0" xfId="0">
      <alignment vertical="center" wrapText="1"/>
    </xf>
    <xf numFmtId="165" fontId="0" fillId="3" borderId="0" pivotButton="0" quotePrefix="0" xfId="0"/>
    <xf numFmtId="165" fontId="0" fillId="0" borderId="0" pivotButton="0" quotePrefix="0" xfId="0"/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17" pivotButton="0" quotePrefix="0" xfId="0"/>
    <xf numFmtId="0" fontId="12" fillId="0" borderId="17" pivotButton="0" quotePrefix="0" xfId="0"/>
    <xf numFmtId="0" fontId="12" fillId="41" borderId="17" pivotButton="0" quotePrefix="0" xfId="0"/>
    <xf numFmtId="0" fontId="0" fillId="0" borderId="17" applyAlignment="1" pivotButton="0" quotePrefix="0" xfId="0">
      <alignment vertical="top" wrapText="1"/>
    </xf>
    <xf numFmtId="165" fontId="43" fillId="40" borderId="0" applyAlignment="1" pivotButton="0" quotePrefix="0" xfId="0">
      <alignment wrapText="1"/>
    </xf>
    <xf numFmtId="165" fontId="43" fillId="0" borderId="0" applyAlignment="1" pivotButton="0" quotePrefix="0" xfId="0">
      <alignment wrapText="1"/>
    </xf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42" borderId="0" applyAlignment="1" pivotButton="0" quotePrefix="0" xfId="0">
      <alignment wrapText="1"/>
    </xf>
    <xf numFmtId="0" fontId="45" fillId="42" borderId="0" applyAlignment="1" pivotButton="0" quotePrefix="0" xfId="0">
      <alignment wrapText="1"/>
    </xf>
    <xf numFmtId="0" fontId="43" fillId="43" borderId="0" applyAlignment="1" pivotButton="0" quotePrefix="0" xfId="0">
      <alignment wrapText="1"/>
    </xf>
    <xf numFmtId="0" fontId="45" fillId="43" borderId="0" applyAlignment="1" pivotButton="0" quotePrefix="0" xfId="0">
      <alignment wrapText="1"/>
    </xf>
    <xf numFmtId="0" fontId="45" fillId="44" borderId="0" applyAlignment="1" pivotButton="0" quotePrefix="0" xfId="0">
      <alignment wrapText="1"/>
    </xf>
    <xf numFmtId="0" fontId="43" fillId="44" borderId="0" applyAlignment="1" pivotButton="0" quotePrefix="0" xfId="0">
      <alignment wrapText="1"/>
    </xf>
    <xf numFmtId="0" fontId="1" fillId="44" borderId="0" applyAlignment="1" pivotButton="0" quotePrefix="0" xfId="0">
      <alignment wrapText="1"/>
    </xf>
    <xf numFmtId="0" fontId="44" fillId="44" borderId="0" applyAlignment="1" pivotButton="0" quotePrefix="0" xfId="0">
      <alignment wrapText="1"/>
    </xf>
    <xf numFmtId="165" fontId="7" fillId="3" borderId="0" applyAlignment="1" pivotButton="0" quotePrefix="0" xfId="0">
      <alignment horizontal="right" vertical="center" wrapText="1"/>
    </xf>
    <xf numFmtId="165" fontId="0" fillId="0" borderId="0" pivotButton="0" quotePrefix="0" xfId="0"/>
    <xf numFmtId="165" fontId="8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165" fontId="0" fillId="41" borderId="0" pivotButton="0" quotePrefix="0" xfId="0"/>
    <xf numFmtId="0" fontId="0" fillId="41" borderId="0" pivotButton="0" quotePrefix="0" xfId="49"/>
    <xf numFmtId="0" fontId="0" fillId="41" borderId="2" pivotButton="0" quotePrefix="0" xfId="0"/>
    <xf numFmtId="0" fontId="16" fillId="41" borderId="1" applyAlignment="1" pivotButton="0" quotePrefix="0" xfId="0">
      <alignment horizontal="center" vertical="center" wrapText="1"/>
    </xf>
    <xf numFmtId="0" fontId="22" fillId="41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49">
      <alignment vertical="top" wrapText="1"/>
    </xf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45" borderId="0" applyAlignment="1" pivotButton="0" quotePrefix="0" xfId="0">
      <alignment wrapText="1"/>
    </xf>
    <xf numFmtId="0" fontId="44" fillId="45" borderId="0" applyAlignment="1" pivotButton="0" quotePrefix="0" xfId="0">
      <alignment wrapText="1"/>
    </xf>
    <xf numFmtId="0" fontId="1" fillId="45" borderId="0" applyAlignment="1" pivotButton="0" quotePrefix="0" xfId="0">
      <alignment wrapText="1"/>
    </xf>
    <xf numFmtId="165" fontId="43" fillId="0" borderId="0" applyAlignment="1" pivotButton="0" quotePrefix="0" xfId="0">
      <alignment wrapText="1"/>
    </xf>
    <xf numFmtId="165" fontId="1" fillId="45" borderId="0" applyAlignment="1" pivotButton="0" quotePrefix="0" xfId="0">
      <alignment wrapText="1"/>
    </xf>
    <xf numFmtId="0" fontId="43" fillId="46" borderId="0" applyAlignment="1" pivotButton="0" quotePrefix="0" xfId="0">
      <alignment wrapText="1"/>
    </xf>
    <xf numFmtId="165" fontId="43" fillId="4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47" borderId="0" pivotButton="0" quotePrefix="0" xfId="49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AmazonOpsWorkOptimized" displayName="AmazonOpsWorkOptimized" ref="A1:G59" headerRowCount="1" totalsRowCount="0" totalsRowShown="0">
  <tableColumns count="7">
    <tableColumn id="1" name="一级模块"/>
    <tableColumn id="2" name="二级模块"/>
    <tableColumn id="3" name="具体运营工作"/>
    <tableColumn id="4" name="分类边界"/>
    <tableColumn id="5" name="计量单位"/>
    <tableColumn id="6" name="标准交付物"/>
    <tableColumn id="7" name="验收标准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mazonOpsScoring" displayName="AmazonOpsScoring" ref="A7:I65" headerRowCount="1" totalsRowCount="0" totalsRowShown="0">
  <tableColumns count="9">
    <tableColumn id="1" name="一级模块"/>
    <tableColumn id="2" name="工作项目"/>
    <tableColumn id="3" name="基础金额（元）"/>
    <tableColumn id="4" name="难度系数"/>
    <tableColumn id="5" name="基础金额及计费单位"/>
    <tableColumn id="6" name="难度系数等级"/>
    <tableColumn id="7" name="默认示例金额（元）"/>
    <tableColumn id="8" name="验收与防重复规则"/>
    <tableColumn id="9" name="场景示例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activeGrades" displayName="ProactiveGrades" ref="A7:E10" headerRowCount="1" totalsRowShown="0">
  <tableColumns count="5">
    <tableColumn id="1" name="评价档位"/>
    <tableColumn id="2" name="认定标准"/>
    <tableColumn id="3" name="案例分"/>
    <tableColumn id="4" name="必要记录"/>
    <tableColumn id="5" name="验收及计分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activeEligibility" displayName="ProactiveEligibility" ref="A13:E21" headerRowCount="1" totalsRowShown="0">
  <tableColumns count="5">
    <tableColumn id="1" name="场景"/>
    <tableColumn id="2" name="判断规则"/>
    <tableColumn id="3" name="主动分"/>
    <tableColumn id="4" name="必要记录"/>
    <tableColumn id="5" name="任务积分处理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activeTaskMapping" displayName="ProactiveTaskMapping" ref="A24:E28" headerRowCount="1" totalsRowShown="0">
  <tableColumns count="5">
    <tableColumn id="1" name="主动工作"/>
    <tableColumn id="2" name="对应任务类型"/>
    <tableColumn id="3" name="任务分"/>
    <tableColumn id="4" name="主动改善评价依据"/>
    <tableColumn id="5" name="记录及防重复要求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activeSettlement" displayName="ProactiveSettlement" ref="A31:E37" headerRowCount="1" totalsRowShown="0">
  <tableColumns count="5">
    <tableColumn id="1" name="规则"/>
    <tableColumn id="2" name="执行标准"/>
    <tableColumn id="3" name="分值／口径"/>
    <tableColumn id="4" name="必要记录"/>
    <tableColumn id="5" name="结算说明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nfirmedTaskScenarios" displayName="ConfirmedTaskScenarios" ref="A7:H20" headerRowCount="1" totalsRowShown="0">
  <autoFilter ref="A7:H20"/>
  <tableColumns count="8">
    <tableColumn id="1" name="工作类型"/>
    <tableColumn id="2" name="实际场景"/>
    <tableColumn id="3" name="基础分"/>
    <tableColumn id="4" name="难度系数"/>
    <tableColumn id="5" name="任务积分"/>
    <tableColumn id="6" name="工作范围"/>
    <tableColumn id="7" name="基础分选档依据"/>
    <tableColumn id="8" name="难度及计分说明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OABatchAllocation" displayName="OABatchAllocation" ref="A30:H34" headerRowCount="1" totalsRowShown="0">
  <tableColumns count="8">
    <tableColumn id="1" name="工作类型"/>
    <tableColumn id="2" name="确认后的批次场景"/>
    <tableColumn id="3" name="基础分"/>
    <tableColumn id="4" name="难度系数"/>
    <tableColumn id="5" name="批次总分"/>
    <tableColumn id="6" name="OA任务条数"/>
    <tableColumn id="7" name="每条OA分摊分"/>
    <tableColumn id="8" name="记录与结算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ListingTemplateGroups" displayName="ListingTemplateGroups" ref="A43:H47" headerRowCount="1" totalsRowShown="0">
  <tableColumns count="8">
    <tableColumn id="1" name="示例"/>
    <tableColumn id="2" name="上架表任务组"/>
    <tableColumn id="3" name="本组SKU数"/>
    <tableColumn id="4" name="本组基础分"/>
    <tableColumn id="5" name="难度系数"/>
    <tableColumn id="6" name="本组积分"/>
    <tableColumn id="7" name="分组说明"/>
    <tableColumn id="8" name="计分说明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OAToListingGroup" displayName="OAToListingGroup" ref="A58:H65" headerRowCount="1" totalsRowShown="0">
  <tableColumns count="8">
    <tableColumn id="1" name="上架组编号"/>
    <tableColumn id="2" name="商品SKU"/>
    <tableColumn id="3" name="OA记录编号"/>
    <tableColumn id="4" name="目标父体"/>
    <tableColumn id="5" name="本组父体数"/>
    <tableColumn id="6" name="难度系数"/>
    <tableColumn id="7" name="本条OA分摊分"/>
    <tableColumn id="8" name="判断依据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OptimizationReviewRules" displayName="OptimizationReviewRules" ref="A1:B16" headerRowCount="1" totalsRowShown="0">
  <tableColumns count="2">
    <tableColumn id="1" name="规则项目"/>
    <tableColumn id="2" name="执行标准（试行，可后续调整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Relationship Type="http://schemas.openxmlformats.org/officeDocument/2006/relationships/table" Target="/xl/tables/table6.xml" Id="rId4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Relationship Type="http://schemas.openxmlformats.org/officeDocument/2006/relationships/table" Target="/xl/tables/table10.xml" Id="rId4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ColWidth="9" defaultRowHeight="13.5"/>
  <cols>
    <col width="18" customWidth="1" style="1" min="1" max="1"/>
    <col width="27" customWidth="1" style="1" min="2" max="2"/>
    <col width="58" customWidth="1" style="1" min="3" max="3"/>
    <col width="65" customWidth="1" style="1" min="4" max="4"/>
    <col width="48" customWidth="1" style="1" min="5" max="5"/>
    <col width="52" customWidth="1" style="1" min="6" max="6"/>
    <col width="65" customWidth="1" style="1" min="7" max="7"/>
  </cols>
  <sheetData>
    <row r="1" ht="32" customHeight="1" s="1">
      <c r="A1" s="57" t="inlineStr">
        <is>
          <t>一级模块</t>
        </is>
      </c>
      <c r="B1" s="58" t="inlineStr">
        <is>
          <t>二级模块</t>
        </is>
      </c>
      <c r="C1" s="59" t="inlineStr">
        <is>
          <t>具体运营工作</t>
        </is>
      </c>
      <c r="D1" s="3" t="inlineStr">
        <is>
          <t>分类边界</t>
        </is>
      </c>
      <c r="E1" s="3" t="inlineStr">
        <is>
          <t>计量单位</t>
        </is>
      </c>
      <c r="F1" s="3" t="inlineStr">
        <is>
          <t>标准交付物</t>
        </is>
      </c>
      <c r="G1" s="3" t="inlineStr">
        <is>
          <t>验收标准</t>
        </is>
      </c>
    </row>
    <row r="2" ht="300" customHeight="1" s="1">
      <c r="A2" s="60" t="inlineStr">
        <is>
          <t>新品上架</t>
        </is>
      </c>
      <c r="B2" s="9" t="inlineStr">
        <is>
          <t>Listing创建</t>
        </is>
      </c>
      <c r="C2" s="9" t="inlineStr">
        <is>
          <t>根据提供的资料下载并填写Category模板，或直接创建Listing；同时完成SKU、价格、库存和配送方式设置；完成父体、子体、全新组件变体或已有变体添加；处理上架报错</t>
        </is>
      </c>
      <c r="D2" s="61" t="inlineStr">
        <is>
          <t>按上架执行组计量：同次安排、同一执行人、同一站点、可共用一张上架表的SKU集合。OA仍一条一个SKU，通过组编号关联；父子关系操作已含在本组难度中，不再另计变体关系维护。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E2" s="61" t="inlineStr">
        <is>
          <t>一个上架执行组；登记组编号、全部OA编号、商品SKU数量及本次需处理关系的不同父体数量。</t>
        </is>
      </c>
      <c r="F2" s="61" t="inlineStr">
        <is>
          <t>上架清单、上传文件或设置记录、父子关系及报错处理记录。</t>
        </is>
      </c>
      <c r="G2" s="61" t="inlineStr">
        <is>
          <t>指定SKU创建结果、适用字段和父子关系核对完成；可售或待审核状态有记录；未成功项说明原因和下一步。</t>
        </is>
      </c>
    </row>
    <row r="3" ht="300" customHeight="1" s="1">
      <c r="A3" s="60" t="inlineStr">
        <is>
          <t>新品上架</t>
        </is>
      </c>
      <c r="B3" s="9" t="inlineStr">
        <is>
          <t>图片上传维护</t>
        </is>
      </c>
      <c r="C3" s="9" t="inlineStr">
        <is>
          <t>根据提供的图片完成新品主图、辅图上传、替换和排序</t>
        </is>
      </c>
      <c r="D3" s="61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E3" s="61" t="inlineStr">
        <is>
          <t>每个SKU：10元。
每个SKU上传自己的产品图片；不按批量降低金额。</t>
        </is>
      </c>
      <c r="F3" s="61" t="inlineStr">
        <is>
          <t>任务/OA编号、SKU或内容编号、执行记录及验收证据。</t>
        </is>
      </c>
      <c r="G3" s="61" t="inlineStr">
        <is>
          <t>按任务范围完成并核验，未完成事项与外部等待另行标记，不以提交代替完成。</t>
        </is>
      </c>
    </row>
    <row r="4" ht="300" customHeight="1" s="1">
      <c r="A4" s="60" t="inlineStr">
        <is>
          <t>产品素材准备</t>
        </is>
      </c>
      <c r="B4" s="9" t="inlineStr">
        <is>
          <t>样品备货与拍摄协调</t>
        </is>
      </c>
      <c r="C4" s="9" t="inlineStr">
        <is>
          <t>创建备货计划，由系统审核、专人采购；员工跟进到货，交接美工拍照，并核对、取得可用图片。</t>
        </is>
      </c>
      <c r="D4" s="61" t="inlineStr">
        <is>
          <t>员工负责创建备货计划、跟进到货、交接美工拍摄及核对收图；系统审核、专人采购、美工拍摄。同一次安排覆盖多个SKU只计一次25元，不按SKU数量、催办次数或等待时长增加金额。核对并取得可用图片后验收；图片上传另按10元/SKU计费，实际采购、拍照、设计及修图不属于本项员工执行范围。</t>
        </is>
      </c>
      <c r="E4" s="61" t="inlineStr">
        <is>
          <t>完成创建备货计划、到货跟进、交接美工拍照、核对并取得可用图片，计25元/完整任务。
各环节合并计费，不按阶段拆分。</t>
        </is>
      </c>
      <c r="F4" s="61" t="inlineStr">
        <is>
          <t>任务及备货计划编号、SKU清单、到货记录、美工交接记录及可用图片交付记录。</t>
        </is>
      </c>
      <c r="G4" s="61" t="inlineStr">
        <is>
          <t>完成创建备货计划、到货跟进、交接拍摄并核对取得可用图片后，按完整任务验收计25元。未取得可用图片时继续跟进，不按阶段分别结算。</t>
        </is>
      </c>
    </row>
    <row r="5" ht="300" customHeight="1" s="1">
      <c r="A5" s="60" t="inlineStr">
        <is>
          <t>新品上架</t>
        </is>
      </c>
      <c r="B5" s="9" t="inlineStr">
        <is>
          <t>A+制作发布</t>
        </is>
      </c>
      <c r="C5" s="9" t="inlineStr">
        <is>
          <t>独立构思A+页面、编写文案及美工制作要求，跟进制作并核验成品，完成发布及首次绑定；已有A+仅绑定按原规则。</t>
        </is>
      </c>
      <c r="D5" s="61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E5" s="61" t="inlineStr">
        <is>
          <t>加入已有A+：5元/SKU。
新建或完全重做A+：75元/独立内容。
共用同一份只计一次；不同内容按实际份数相加。</t>
        </is>
      </c>
      <c r="F5" s="61" t="inlineStr">
        <is>
          <t>任务/OA编号、SKU或内容编号、执行记录及验收证据。</t>
        </is>
      </c>
      <c r="G5" s="61" t="inlineStr">
        <is>
          <t>首次制作：发布及应用核验完成；已有内容优化重做：另完成优化复盘。仅绑定：关系及应用结果核验。</t>
        </is>
      </c>
    </row>
    <row r="6" ht="300" customHeight="1" s="1">
      <c r="A6" s="60" t="inlineStr">
        <is>
          <t>新品上架</t>
        </is>
      </c>
      <c r="B6" s="9" t="inlineStr">
        <is>
          <t>视频上传与信息维护</t>
        </is>
      </c>
      <c r="C6" s="9" t="inlineStr">
        <is>
          <t>修改视频标题等信息，上传或替换视频，为已有视频增加ASIN，完成对应关系及展示核验。</t>
        </is>
      </c>
      <c r="D6" s="61" t="inlineStr">
        <is>
          <t>同一视频同一轮，上传或替换已包含标题填写及首次ASIN绑定，不再叠加。已有视频同时修改标题并新增ASIN，可分别计标题修改与绑定金额。上传失败重试、重复上传同一文件、修复本人错误不新增金额。拍摄与剪辑不含在本项。</t>
        </is>
      </c>
      <c r="E6" s="61" t="inlineStr">
        <is>
          <t>修改标题等信息：5元/视频/轮。
上传或替换视频：15元/独立视频，含标题、首次ASIN绑定及核验。
已有视频添加ASIN：同视频同批次，1个SKU对应的ASIN计5元，2个及以上计10元；不同视频分别计算。</t>
        </is>
      </c>
      <c r="F6" s="61" t="inlineStr">
        <is>
          <t>任务/OA编号、SKU或内容编号、执行记录及验收证据。</t>
        </is>
      </c>
      <c r="G6" s="61" t="inlineStr">
        <is>
          <t>按任务范围完成并核验，未完成事项与外部等待另行标记，不以提交代替完成。</t>
        </is>
      </c>
    </row>
    <row r="7" ht="300" customHeight="1" s="1">
      <c r="A7" s="60" t="inlineStr">
        <is>
          <t>Listing内容维护</t>
        </is>
      </c>
      <c r="B7" s="9" t="inlineStr">
        <is>
          <t>Listing纠错</t>
        </is>
      </c>
      <c r="C7" s="9" t="inlineStr">
        <is>
          <t>根据产品资料、系统异常、VOC分析结果或负责人要求，对标题、五点、描述、Generic Keywords、图片、A+或视频进行纠错</t>
        </is>
      </c>
      <c r="D7" s="61" t="inlineStr">
        <is>
          <t>每次必须检查标题、五点、描述、A+、主图及视频，缺少该模块标记“不适用”。发现的错误全部修正并核验后验收；检查包含在纠错金额中。修复自己造成的错误不新增金额。同一纠错成果不再计图片、A+或视频修改分。</t>
        </is>
      </c>
      <c r="E7" s="61" t="inlineStr">
        <is>
          <t>每个独立错误点：10元。
同一错误在多个位置重复出现，合并为1个错误点。</t>
        </is>
      </c>
      <c r="F7" s="61" t="inlineStr">
        <is>
          <t>任务/OA编号、SKU或内容编号、执行记录及验收证据。</t>
        </is>
      </c>
      <c r="G7" s="61" t="inlineStr">
        <is>
          <t>每次必须检查标题、五点、描述、A+、主图及视频，缺少该模块标记“不适用”。发现的错误全部修正并核验后验收；检查包含在纠错金额中。修复自己造成的错误不新增金额。同一纠错成果不再计图片、A+或视频修改分。</t>
        </is>
      </c>
    </row>
    <row r="8" ht="380" customHeight="1" s="1">
      <c r="A8" s="60" t="inlineStr">
        <is>
          <t>Listing内容维护</t>
        </is>
      </c>
      <c r="B8" s="9" t="inlineStr">
        <is>
          <t>标题编写与优化</t>
        </is>
      </c>
      <c r="C8" s="9" t="inlineStr">
        <is>
          <t>覆盖新品首次文案编写及已有Listing后续实质优化；依据已确认的产品事实，编写对应标题、五点、描述或搜索关键词内容。</t>
        </is>
      </c>
      <c r="D8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
同系列首次文案共用时，按实际独立原创内容套数计费：统一文案仅替换确认后的尺寸、电压、颜色等参数，标题/五点/描述/关键词各计一套，共50元；参数替换、填表及核对包含在上架执行中。不按复制出的Listing数量重复领取原创费。不同功能或卖点确需独立研究并原创的内容，按实际独立交付计费；参数不同不能作为唯一依据。</t>
        </is>
      </c>
      <c r="E8" s="61" t="inlineStr">
        <is>
          <t>每个Listing标题：10元。</t>
        </is>
      </c>
      <c r="F8" s="61" t="inlineStr">
        <is>
          <t>开发项目／任务编号、产品资料来源、文案定稿及确认记录；后续优化另附前后对照、上线核验及复盘结论。</t>
        </is>
      </c>
      <c r="G8" s="61" t="inlineStr">
        <is>
          <t>首次：文案完整准确、可供上架并经确认；后续优化：更新核验且完成复盘。</t>
        </is>
      </c>
    </row>
    <row r="9" ht="380" customHeight="1" s="1">
      <c r="A9" s="60" t="inlineStr">
        <is>
          <t>Listing内容维护</t>
        </is>
      </c>
      <c r="B9" s="9" t="inlineStr">
        <is>
          <t>五点编写与优化</t>
        </is>
      </c>
      <c r="C9" s="9" t="inlineStr">
        <is>
          <t>覆盖新品首次文案编写及已有Listing后续实质优化；依据已确认的产品事实，编写对应标题、五点、描述或搜索关键词内容。</t>
        </is>
      </c>
      <c r="D9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
同系列首次文案共用时，按实际独立原创内容套数计费：统一文案仅替换确认后的尺寸、电压、颜色等参数，标题/五点/描述/关键词各计一套，共50元；参数替换、填表及核对包含在上架执行中。不按复制出的Listing数量重复领取原创费。不同功能或卖点确需独立研究并原创的内容，按实际独立交付计费；参数不同不能作为唯一依据。</t>
        </is>
      </c>
      <c r="E9" s="61" t="inlineStr">
        <is>
          <t>每个Listing的一套五点：15元。首次编写一套计15元；后续同轮改1点、几点或全部五点均计15元，不按条数累加。</t>
        </is>
      </c>
      <c r="F9" s="61" t="inlineStr">
        <is>
          <t>开发项目／任务编号、产品资料来源、文案定稿及确认记录；后续优化另附前后对照、上线核验及复盘结论。</t>
        </is>
      </c>
      <c r="G9" s="61" t="inlineStr">
        <is>
          <t>首次：文案完整准确、可供上架并经确认；后续优化：更新核验且完成复盘。</t>
        </is>
      </c>
    </row>
    <row r="10" ht="380" customHeight="1" s="1">
      <c r="A10" s="60" t="inlineStr">
        <is>
          <t>Listing内容维护</t>
        </is>
      </c>
      <c r="B10" s="9" t="inlineStr">
        <is>
          <t>描述编写与优化</t>
        </is>
      </c>
      <c r="C10" s="9" t="inlineStr">
        <is>
          <t>覆盖新品首次文案编写及已有Listing后续实质优化；依据已确认的产品事实，编写对应标题、五点、描述或搜索关键词内容。</t>
        </is>
      </c>
      <c r="D10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
同系列首次文案共用时，按实际独立原创内容套数计费：统一文案仅替换确认后的尺寸、电压、颜色等参数，标题/五点/描述/关键词各计一套，共50元；参数替换、填表及核对包含在上架执行中。不按复制出的Listing数量重复领取原创费。不同功能或卖点确需独立研究并原创的内容，按实际独立交付计费；参数不同不能作为唯一依据。</t>
        </is>
      </c>
      <c r="E10" s="61" t="inlineStr">
        <is>
          <t>每个Listing的一份描述：15元。</t>
        </is>
      </c>
      <c r="F10" s="61" t="inlineStr">
        <is>
          <t>开发项目／任务编号、产品资料来源、文案定稿及确认记录；后续优化另附前后对照、上线核验及复盘结论。</t>
        </is>
      </c>
      <c r="G10" s="61" t="inlineStr">
        <is>
          <t>首次：文案完整准确、可供上架并经确认；后续优化：更新核验且完成复盘。</t>
        </is>
      </c>
    </row>
    <row r="11" ht="380" customHeight="1" s="1">
      <c r="A11" s="60" t="inlineStr">
        <is>
          <t>Listing内容维护</t>
        </is>
      </c>
      <c r="B11" s="9" t="inlineStr">
        <is>
          <t>Generic Keywords编写与优化</t>
        </is>
      </c>
      <c r="C11" s="9" t="inlineStr">
        <is>
          <t>覆盖新品首次文案编写及已有Listing后续实质优化；依据已确认的产品事实，编写对应标题、五点、描述或搜索关键词内容。</t>
        </is>
      </c>
      <c r="D11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
同系列首次文案共用时，按实际独立原创内容套数计费：统一文案仅替换确认后的尺寸、电压、颜色等参数，标题/五点/描述/关键词各计一套，共50元；参数替换、填表及核对包含在上架执行中。不按复制出的Listing数量重复领取原创费。不同功能或卖点确需独立研究并原创的内容，按实际独立交付计费；参数不同不能作为唯一依据。</t>
        </is>
      </c>
      <c r="E11" s="61" t="inlineStr">
        <is>
          <t>每个Listing的一套Generic Keywords：10元。</t>
        </is>
      </c>
      <c r="F11" s="61" t="inlineStr">
        <is>
          <t>开发项目／任务编号、产品资料来源、文案定稿及确认记录；后续优化另附前后对照、上线核验及复盘结论。</t>
        </is>
      </c>
      <c r="G11" s="61" t="inlineStr">
        <is>
          <t>首次：文案完整准确、可供上架并经确认；后续优化：更新核验且完成复盘。</t>
        </is>
      </c>
    </row>
    <row r="12" ht="300" customHeight="1" s="1">
      <c r="A12" s="60" t="inlineStr">
        <is>
          <t>Listing内容维护</t>
        </is>
      </c>
      <c r="B12" s="9" t="inlineStr">
        <is>
          <t>全新制作或完全重做A+</t>
        </is>
      </c>
      <c r="C12" s="9" t="inlineStr">
        <is>
          <t>独立构思A+页面、编写文案及美工制作要求，跟进制作并核验成品，完成发布及首次绑定；已有A+仅绑定按原规则。</t>
        </is>
      </c>
      <c r="D12" s="61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E12" s="61" t="inlineStr">
        <is>
          <t>每份独立A+：75元。多个SKU共用同一份只计75元；不同内容按实际份数相加。</t>
        </is>
      </c>
      <c r="F12" s="61" t="inlineStr">
        <is>
          <t>问题依据、修改前后内容、上线核验、复盘日期及结论。</t>
        </is>
      </c>
      <c r="G12" s="61" t="inlineStr">
        <is>
          <t>首次制作：发布及应用核验完成；已有内容优化重做：另完成优化复盘。仅绑定：关系及应用结果核验。</t>
        </is>
      </c>
    </row>
    <row r="13" ht="300" customHeight="1" s="1">
      <c r="A13" s="60" t="inlineStr">
        <is>
          <t>Listing内容维护</t>
        </is>
      </c>
      <c r="B13" s="9" t="inlineStr">
        <is>
          <t>A+内容增删修改</t>
        </is>
      </c>
      <c r="C13" s="9" t="inlineStr">
        <is>
          <t>增加信息、删除信息或局部修改A+内容；包括新增或删除整个模块。</t>
        </is>
      </c>
      <c r="D13" s="61" t="inlineStr">
        <is>
          <t>同一份A+同一轮内所有局部增加、删除或修改合计10元，不按模块数量累加；同一轮反复调整不重复计费。全新制作或完全重做按75元/份，不叠加局部修改金额。仅增加绑定SKU归A+制作发布，按5元/SKU。单纯事实纠错按Listing纠错计费。以优化为目的的修改执行优化登记与复盘规则。</t>
        </is>
      </c>
      <c r="E13" s="61" t="inlineStr">
        <is>
          <t>同一份A+同一轮局部修改合计10元。
不按模块数量累加；全新制作或完全重做按75元/份。</t>
        </is>
      </c>
      <c r="F13" s="61" t="inlineStr">
        <is>
          <t>问题依据、修改前后内容、上线核验、复盘日期及结论。</t>
        </is>
      </c>
      <c r="G13" s="61" t="inlineStr">
        <is>
          <t>指定增删修改完成并核验；以优化为目的时还需完成复盘。单纯纠错按纠错规则验收。</t>
        </is>
      </c>
    </row>
    <row r="14" ht="300" customHeight="1" s="1">
      <c r="A14" s="60" t="inlineStr">
        <is>
          <t>Listing内容维护</t>
        </is>
      </c>
      <c r="B14" s="9" t="inlineStr">
        <is>
          <t>变体关系维护</t>
        </is>
      </c>
      <c r="C14" s="9" t="inlineStr">
        <is>
          <t>处理原变体异常后的重新组合、异常ASIN拆分重组、SKU加入已有变体、变体选项修正，以及原独立商品组成新变体。</t>
        </is>
      </c>
      <c r="D14" s="61" t="inlineStr">
        <is>
          <t>按同一次安排中的一个独立变体处理方案计费，包含核对、拆分、解绑、加入、重建及核验。基础金额只取适用最高档，不逐项累加。多个SKU共同组成同一变体算一个方案；互不相关的问题分别计费。跨多个父体完成同一次迁移或重组仍算一个方案。新品上架或其他异常处理已包含的相同工作不重复计费。</t>
        </is>
      </c>
      <c r="E14" s="61" t="inlineStr">
        <is>
          <t>一个站点、同一次安排中的一个独立处理方案；登记涉及的SKU、ASIN、原父体及目标父体。</t>
        </is>
      </c>
      <c r="F14" s="61" t="inlineStr">
        <is>
          <t>原关系清单、问题或修改依据、处理方案、执行记录及调整后关系清单。</t>
        </is>
      </c>
      <c r="G14" s="61" t="inlineStr">
        <is>
          <t>按确认方案完成关系及选项调整，核验父子对应、选项名称和展示结果；失败或待生效事项单独记录，重复提交及返工不新增金额。</t>
        </is>
      </c>
    </row>
    <row r="15" ht="300" customHeight="1" s="1">
      <c r="A15" s="60" t="inlineStr">
        <is>
          <t>Listing内容维护</t>
        </is>
      </c>
      <c r="B15" s="9" t="inlineStr">
        <is>
          <t>图片维护</t>
        </is>
      </c>
      <c r="C15" s="9" t="inlineStr">
        <is>
          <t>根据负责人提供的图片完成老Listing主图、辅图的上传、替换、删除和排序；根据Listing问题或优化要求更新产品图片</t>
        </is>
      </c>
      <c r="D15" s="61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E15" s="61" t="inlineStr">
        <is>
          <t>每个SKU：10元。
每个SKU上传自己的产品图片；不按批量降低金额。</t>
        </is>
      </c>
      <c r="F15" s="61" t="inlineStr">
        <is>
          <t>任务/OA编号、SKU或内容编号、执行记录及验收证据。</t>
        </is>
      </c>
      <c r="G15" s="61" t="inlineStr">
        <is>
          <t>按任务范围完成并核验，未完成事项与外部等待另行标记，不以提交代替完成。</t>
        </is>
      </c>
    </row>
    <row r="16" ht="300" customHeight="1" s="1">
      <c r="A16" s="60" t="inlineStr">
        <is>
          <t>价格管理</t>
        </is>
      </c>
      <c r="B16" s="9" t="inlineStr">
        <is>
          <t>价格调整</t>
        </is>
      </c>
      <c r="C16" s="9" t="inlineStr">
        <is>
          <t>按负责人提供的SKU及明确目标价格，修改适用价格字段并核验生效结果。</t>
        </is>
      </c>
      <c r="D16" s="61" t="inlineStr">
        <is>
          <t>按负责人提供的SKU及目标价格完成调整，并核验实际生效价格。同一次安排中的多个SKU，即使目标价格不同，仍按一个批次计费。OA拆成多条记录、分文件上传、失败重试不增加批次。原价格维护及单纯改价异常合并为本项；Buy Box异常处理已包含的改价不重复计费。</t>
        </is>
      </c>
      <c r="E16" s="61" t="inlineStr">
        <is>
          <t>同一次安排的一批改价任务。</t>
        </is>
      </c>
      <c r="F16" s="61" t="inlineStr">
        <is>
          <t>任务编号、SKU及目标价格清单、修改记录及生效核验结果。</t>
        </is>
      </c>
      <c r="G16" s="61" t="inlineStr">
        <is>
          <t>指定价格已正确调整并完成核验；失败、未生效或等待事项单独记录。</t>
        </is>
      </c>
    </row>
    <row r="17" ht="300" customHeight="1" s="1">
      <c r="A17" s="60" t="inlineStr">
        <is>
          <t>价格管理</t>
        </is>
      </c>
      <c r="B17" s="9" t="inlineStr">
        <is>
          <t>Buy Box异常处理</t>
        </is>
      </c>
      <c r="C17" s="9" t="inlineStr">
        <is>
          <t>核查对应商品售价及运费并保存截图，整理材料、开Case、按回复处理并跟进Buy Box状态。</t>
        </is>
      </c>
      <c r="D17" s="61" t="inlineStr">
        <is>
          <t>包含售价及运费核查、截图取证、材料整理、开Case及后续跟进。按站点＋ASIN＋同一异常识别任务，不按SKU、Case、重试次数或处理时长增加金额；已含改价不另计费。每个ASIN须记录处理及核验结果。恢复后核验验收；未恢复时凭证齐全并经负责人确认阶段结案可结算。处理中暂不结算，阶段结案后同一异常恢复不重复计费。本人责任纠错不另计酬，主动任务按适用倍率结算。</t>
        </is>
      </c>
      <c r="E17" s="61" t="inlineStr">
        <is>
          <t>15元/ASIN（基础金额）。同一站点、同一ASIN、同一原因的连续异常只计一次；同一ASIN对应多个SKU不重复计费。不同ASIN分别计费，即使共用证据或同一个Case，也按实际处理并逐个验收的ASIN数量计算。</t>
        </is>
      </c>
      <c r="F17" s="61" t="inlineStr">
        <is>
          <t>按ASIN记录站点、取证截图、Case编号或链接、平台最终回复及Buy Box核验结果；SKU仅作辅助关联。未恢复须附负责人阶段结案确认。</t>
        </is>
      </c>
      <c r="G17" s="61" t="inlineStr">
        <is>
          <t>工作完成状态与Buy Box结果分开记录。每个ASIN恢复后核验通过，或凭证齐全且负责人确认阶段结案后，按15元基础金额及适用倍率结算。同一站点同一ASIN同一异常只计一次；仍处理中暂不结算。</t>
        </is>
      </c>
    </row>
    <row r="18" ht="300" customHeight="1" s="1">
      <c r="A18" s="60" t="inlineStr">
        <is>
          <t>价格管理</t>
        </is>
      </c>
      <c r="B18" s="9" t="inlineStr">
        <is>
          <t>主动价格优化</t>
        </is>
      </c>
      <c r="C18" s="9" t="inlineStr">
        <is>
          <t>主动发现价格异常或价格机会，说明调整原因并完成相关价格字段修改</t>
        </is>
      </c>
      <c r="D18" s="61" t="inlineStr">
        <is>
          <t>本行为说明项，不产生独立计费。员工自主发现价格异常并完成修正时，使用"价格调整"的基础金额15元×难度系数×主动倍率1.5结算。负责人安排的改价直接按"价格调整"计任务金额。员工先提出建议、经负责人批准后执行，仍属主动；补建任务或认领变化不改变来源。</t>
        </is>
      </c>
      <c r="E18" s="61" t="inlineStr">
        <is>
          <t>一个站点的一项采纳方案及执行批次；登记SKU数量</t>
        </is>
      </c>
      <c r="F18" s="61" t="inlineStr">
        <is>
          <t>发现依据、调整建议及确认记录、执行清单、结果核验。</t>
        </is>
      </c>
      <c r="G18" s="61" t="inlineStr">
        <is>
          <t>说明问题或机会，方案经确认后正确执行；需复盘时约定观察期；同一问题的发现和执行按预定范围计一次。</t>
        </is>
      </c>
    </row>
    <row r="19" ht="300" customHeight="1" s="1">
      <c r="A19" s="60" t="inlineStr">
        <is>
          <t>促销管理</t>
        </is>
      </c>
      <c r="B19" s="9" t="inlineStr">
        <is>
          <t>Coupon与Promotion创建</t>
        </is>
      </c>
      <c r="C19" s="9" t="inlineStr">
        <is>
          <t>按负责人明确的优惠方案创建Coupon或Promotion，设置商品、优惠条件和活动时间，提交并核验。</t>
        </is>
      </c>
      <c r="D19" s="61" t="inlineStr">
        <is>
          <t>按明确优惠方案创建并核验；每个独立活动15元。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E19" s="61" t="inlineStr">
        <is>
          <t>每个实际独立创建的活动；记录活动编号及类型。</t>
        </is>
      </c>
      <c r="F19" s="61" t="inlineStr">
        <is>
          <t>活动编号、商品清单、优惠条件、时间、提交记录及核验结果。</t>
        </is>
      </c>
      <c r="G19" s="61" t="inlineStr">
        <is>
          <t>活动设置与任务要求一致；完成提交与结果核验，失败或待生效事项单独记录。</t>
        </is>
      </c>
    </row>
    <row r="20" ht="300" customHeight="1" s="1">
      <c r="A20" s="60" t="inlineStr">
        <is>
          <t>促销管理</t>
        </is>
      </c>
      <c r="B20" s="9" t="inlineStr">
        <is>
          <t>Deal活动提报</t>
        </is>
      </c>
      <c r="C20" s="9" t="inlineStr">
        <is>
          <t>按要求核对Deal商品资料及参数，完成提报并核验提交结果。</t>
        </is>
      </c>
      <c r="D20" s="61" t="inlineStr">
        <is>
          <t>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E20" s="61" t="inlineStr">
        <is>
          <t>每个实际独立提报的Deal：10元。
不按包含的SKU数量增加；5个独立Deal计50元。</t>
        </is>
      </c>
      <c r="F20" s="61" t="inlineStr">
        <is>
          <t>Deal编号、商品清单、参数及资料核对记录、提交结果和平台审批状态。</t>
        </is>
      </c>
      <c r="G20" s="61" t="inlineStr">
        <is>
          <t>资料及参数符合要求，完成提报及提交结果核验后计费。平台是否批准单独记录，不以审批通过作为唯一验收条件。</t>
        </is>
      </c>
    </row>
    <row r="21" ht="300" customHeight="1" s="1">
      <c r="A21" s="60" t="inlineStr">
        <is>
          <t>广告新建</t>
        </is>
      </c>
      <c r="B21" s="9" t="inlineStr">
        <is>
          <t>SP广告创建</t>
        </is>
      </c>
      <c r="C21" s="9" t="inlineStr">
        <is>
          <t>按任务要求创建SP Campaign，完成初始设置，并在Ads Change认领变化、创建或关联任务、填写创建原因。</t>
        </is>
      </c>
      <c r="D21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新建Campaign必要的命名和归组包含在创建金额中。</t>
        </is>
      </c>
      <c r="E21" s="61" t="inlineStr">
        <is>
          <t>每个独立Campaign计15元，不区分广告组、商品、目标、素材或落地页数量。</t>
        </is>
      </c>
      <c r="F21" s="61" t="inlineStr">
        <is>
          <t>广告账户及站点、Campaign ID、Ads Change记录、认领人、任务编号、创建原因及核验结果。</t>
        </is>
      </c>
      <c r="G21" s="61" t="inlineStr">
        <is>
          <t>Campaign创建及初始设置符合任务要求；完成变化认领、任务关联、原因填写和结果核验后计费。失败重试不新增创建金额。</t>
        </is>
      </c>
    </row>
    <row r="22" ht="300" customHeight="1" s="1">
      <c r="A22" s="60" t="inlineStr">
        <is>
          <t>广告新建</t>
        </is>
      </c>
      <c r="B22" s="9" t="inlineStr">
        <is>
          <t>SB广告创建</t>
        </is>
      </c>
      <c r="C22" s="9" t="inlineStr">
        <is>
          <t>按任务要求创建SB Campaign，完成初始设置，并在Ads Change认领变化、创建或关联任务、填写创建原因。</t>
        </is>
      </c>
      <c r="D22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SBV只按SBV项目计费，不再同时计SB创建金额。 新建Campaign必要的命名和归组包含在创建金额中。</t>
        </is>
      </c>
      <c r="E22" s="61" t="inlineStr">
        <is>
          <t>每个独立Campaign计20元，不区分广告组、商品、目标、素材或落地页数量。</t>
        </is>
      </c>
      <c r="F22" s="61" t="inlineStr">
        <is>
          <t>广告账户及站点、Campaign ID、Ads Change记录、认领人、任务编号、创建原因及核验结果。</t>
        </is>
      </c>
      <c r="G22" s="61" t="inlineStr">
        <is>
          <t>Campaign创建及初始设置符合任务要求；完成变化认领、任务关联、原因填写和结果核验后计费。失败重试不新增创建金额。</t>
        </is>
      </c>
    </row>
    <row r="23" ht="300" customHeight="1" s="1">
      <c r="A23" s="60" t="inlineStr">
        <is>
          <t>广告新建</t>
        </is>
      </c>
      <c r="B23" s="9" t="inlineStr">
        <is>
          <t>SBV广告创建</t>
        </is>
      </c>
      <c r="C23" s="9" t="inlineStr">
        <is>
          <t>按任务要求创建SBV Campaign，完成初始设置，并在Ads Change认领变化、创建或关联任务、填写创建原因。</t>
        </is>
      </c>
      <c r="D23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SBV只按SBV项目计费，不再同时计SB创建金额。 新建Campaign必要的命名和归组包含在创建金额中。</t>
        </is>
      </c>
      <c r="E23" s="61" t="inlineStr">
        <is>
          <t>每个独立Campaign计20元，不区分广告组、商品、目标、素材或落地页数量。</t>
        </is>
      </c>
      <c r="F23" s="61" t="inlineStr">
        <is>
          <t>广告账户及站点、Campaign ID、Ads Change记录、认领人、任务编号、创建原因及核验结果。</t>
        </is>
      </c>
      <c r="G23" s="61" t="inlineStr">
        <is>
          <t>Campaign创建及初始设置符合任务要求；完成变化认领、任务关联、原因填写和结果核验后计费。失败重试不新增创建金额。</t>
        </is>
      </c>
    </row>
    <row r="24" ht="300" customHeight="1" s="1">
      <c r="A24" s="60" t="inlineStr">
        <is>
          <t>广告新建</t>
        </is>
      </c>
      <c r="B24" s="9" t="inlineStr">
        <is>
          <t>SD广告创建</t>
        </is>
      </c>
      <c r="C24" s="9" t="inlineStr">
        <is>
          <t>按任务要求创建SD Campaign，完成初始设置，并在Ads Change认领变化、创建或关联任务、填写创建原因。</t>
        </is>
      </c>
      <c r="D24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新建Campaign必要的命名和归组包含在创建金额中。</t>
        </is>
      </c>
      <c r="E24" s="61" t="inlineStr">
        <is>
          <t>每个独立Campaign计20元，不区分广告组、商品、目标、素材或落地页数量。</t>
        </is>
      </c>
      <c r="F24" s="61" t="inlineStr">
        <is>
          <t>广告账户及站点、Campaign ID、Ads Change记录、认领人、任务编号、创建原因及核验结果。</t>
        </is>
      </c>
      <c r="G24" s="61" t="inlineStr">
        <is>
          <t>Campaign创建及初始设置符合任务要求；完成变化认领、任务关联、原因填写和结果核验后计费。失败重试不新增创建金额。</t>
        </is>
      </c>
    </row>
    <row r="25" ht="300" customHeight="1" s="1">
      <c r="A25" s="60" t="inlineStr">
        <is>
          <t>广告调整</t>
        </is>
      </c>
      <c r="B25" s="9" t="inlineStr">
        <is>
          <t>广告执行调整</t>
        </is>
      </c>
      <c r="C25" s="9" t="inlineStr">
        <is>
          <t>按指定要求执行关键词与搜索词调整、否定投放调整、广告产品归组与补充、ASIN与商品投放调整、Bid与投放位置调整。</t>
        </is>
      </c>
      <c r="D25" s="61" t="inlineStr">
        <is>
          <t>适用于负责人安排或员工自主发起、完成有效调整并核验的工作。以Campaign为计费单位，每个Campaign每次有效调整计10元。同一次调整包含多种动作（否定词＋Bid＋商品投放）合计只算1次。每个自然周（周一至周日）每个Campaign最多计2次，不同Campaign分别计费。负责人安排和员工主动执行合并统计，多人参与不增加次数。认领变化、关联任务、填写原因并核验。员工自主发起按正常金额×主动倍率计算，同一工作不重复计费。</t>
        </is>
      </c>
      <c r="E25" s="61" t="inlineStr">
        <is>
          <t>每个Campaign每次有效调整：10元。
每个自然周（周一至周日）每个Campaign最多计2次。
不同Campaign分别计费。</t>
        </is>
      </c>
      <c r="F25" s="61" t="inlineStr">
        <is>
          <t>负责人要求、任务编号、调整对象及涉及Campaign数量、Ads Change认领记录、原因及核验结果。</t>
        </is>
      </c>
      <c r="G25" s="61" t="inlineStr">
        <is>
          <t>具体调整完成并核验；以Campaign为单位按周统计。第二次计费须有第一次调整后的复查依据或新问题依据。自主发起按正常金额×主动倍率计算。</t>
        </is>
      </c>
    </row>
    <row r="26" ht="300" customHeight="1" s="1">
      <c r="A26" s="60" t="inlineStr">
        <is>
          <t>Listing与账号异常</t>
        </is>
      </c>
      <c r="B26" s="9" t="inlineStr">
        <is>
          <t>Listing异常申诉与Case处理</t>
        </is>
      </c>
      <c r="C26" s="9" t="inlineStr">
        <is>
          <t>对需要Appeal或Case解决的Listing异常，进行异常核查、材料整理、提交、回复跟进及逐ASIN结果核验。</t>
        </is>
      </c>
      <c r="D26" s="61" t="inlineStr">
        <is>
          <t>包含异常核查、材料整理、Appeal或Case提交、回复跟进及结果核验。同一ASIN同一异常的多次申诉、多个Case或补充材料合并计20元。合并在一个Case中的多个ASIN按个数计费，但须逐个记录处理结果。恢复后验收；未恢复时提交完整记录，经负责人确认阶段结案后计费，后续同一异常恢复不重复领取。已归Buy Box、滞留库存或变体关系维护的同一问题不叠加本项。负责人安排计任务金额，自主发起改善仅计主动金额。</t>
        </is>
      </c>
      <c r="E26" s="61" t="inlineStr">
        <is>
          <t>每个ASIN的一项独立异常处理：20元。
处理5个ASIN计100元；不再采用ASIN数量分档。
同一ASIN同一异常只计一次。</t>
        </is>
      </c>
      <c r="F26" s="61" t="inlineStr">
        <is>
          <t>站点、ASIN、独立异常说明、任务编号、Appeal或Case编号、材料及平台回复、逐ASIN结果和必要的阶段结案确认。</t>
        </is>
      </c>
      <c r="G26" s="61" t="inlineStr">
        <is>
          <t>逐个ASIN验收。已恢复的核验状态；未恢复的提交完整处理记录，经负责人确认阶段结案后计费，仍保留未恢复状态。同一异常后续恢复不重复计费。</t>
        </is>
      </c>
    </row>
    <row r="27" ht="300" customHeight="1" s="1">
      <c r="A27" s="60" t="inlineStr">
        <is>
          <t>Brand Store维护</t>
        </is>
      </c>
      <c r="B27" s="9" t="inlineStr">
        <is>
          <t>二级类目商品维护</t>
        </is>
      </c>
      <c r="C27" s="9" t="inlineStr">
        <is>
          <t>每个二级类目的一次商品更新：10元。
在原有模块内添加、删除或替换商品；不按SKU数量增加。</t>
        </is>
      </c>
      <c r="D27" s="61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E27" s="61" t="inlineStr">
        <is>
          <t>每个二级类目的一次商品更新：10元。
在原有模块内添加、删除或替换商品；不按SKU数量增加。</t>
        </is>
      </c>
      <c r="F27" s="61" t="inlineStr">
        <is>
          <t>任务编号、站点与店铺、二级类目完整路径、页面标识及前后对照；阻断处理另提供报错截图、修复位置和提交成功记录。</t>
        </is>
      </c>
      <c r="G27" s="61" t="inlineStr">
        <is>
          <t>完成本二级类目约定商品或模块更新、正常审核反馈处理及结果核验；同类目商品与模块配置不重复计费。</t>
        </is>
      </c>
    </row>
    <row r="28" ht="300" customHeight="1" s="1">
      <c r="A28" s="60" t="inlineStr">
        <is>
          <t>Brand Store维护</t>
        </is>
      </c>
      <c r="B28" s="9" t="inlineStr">
        <is>
          <t>二级类目模块新增或重建</t>
        </is>
      </c>
      <c r="C28" s="9" t="inlineStr">
        <is>
          <t>每个二级类目的一次模块新增、替换或重建：25元。
包含必要布局、商品配置及核验；不按模块数量增加。</t>
        </is>
      </c>
      <c r="D28" s="61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E28" s="61" t="inlineStr">
        <is>
          <t>每个二级类目的一次模块新增、替换或重建：25元。
包含必要布局、商品配置及核验；不按模块数量增加。</t>
        </is>
      </c>
      <c r="F28" s="61" t="inlineStr">
        <is>
          <t>任务编号、站点与店铺、二级类目完整路径、页面标识及前后对照；阻断处理另提供报错截图、修复位置和提交成功记录。</t>
        </is>
      </c>
      <c r="G28" s="61" t="inlineStr">
        <is>
          <t>完成本二级类目约定商品或模块更新、正常审核反馈处理及结果核验；同类目商品与模块配置不重复计费。</t>
        </is>
      </c>
    </row>
    <row r="29" ht="300" customHeight="1" s="1">
      <c r="A29" s="60" t="inlineStr">
        <is>
          <t>Brand Store维护</t>
        </is>
      </c>
      <c r="B29" s="9" t="inlineStr">
        <is>
          <t>提交阻断问题处理</t>
        </is>
      </c>
      <c r="C29" s="9" t="inlineStr">
        <is>
          <t>每次独立提交任务：15元。
仅限本次更新范围外其他板块的原有报错。</t>
        </is>
      </c>
      <c r="D29" s="61" t="inlineStr">
        <is>
          <t>仅处理本次更新范围之外、其他板块原有报错导致无法提交的问题。须保留报错截图、修复位置和提交成功记录。同一独立提交任务出现多个报错、反复尝试或涉及多个类目，只计一次15元，不按报错或类目数累加。本人本次更新造成的错误属于返工，不计本项。由同一人或不同人处理均按实际工作归属，不能重复领取。</t>
        </is>
      </c>
      <c r="E29" s="61" t="inlineStr">
        <is>
          <t>每次独立提交任务：15元。
仅限本次更新范围外其他板块的原有报错。</t>
        </is>
      </c>
      <c r="F29" s="61" t="inlineStr">
        <is>
          <t>任务编号、站点与店铺、二级类目完整路径、页面标识及前后对照；阻断处理另提供报错截图、修复位置和提交成功记录。</t>
        </is>
      </c>
      <c r="G29" s="61" t="inlineStr">
        <is>
          <t>范围外原有报错已修复，提交成功并记录结果后计15元；同次多个报错不重复计费。</t>
        </is>
      </c>
    </row>
    <row r="30" ht="300" customHeight="1" s="1">
      <c r="A30" s="60" t="inlineStr">
        <is>
          <t>Review、Feedback与客户声音</t>
        </is>
      </c>
      <c r="B30" s="9" t="inlineStr">
        <is>
          <t>VOC数据更新与AI分析</t>
        </is>
      </c>
      <c r="C30" s="9" t="inlineStr">
        <is>
          <t>每周下载数据并保存至数据库，运行AI分析、保存结果并完成基本核验。</t>
        </is>
      </c>
      <c r="D30" s="61" t="inlineStr">
        <is>
          <t>下载本周所需数据并记录期间；保存到数据库，核对导入成功、无明显遗漏或重复；运行AI分析，保存结果并检查是否正常生成及有无明显错误。同一周任务中的多次下载、分文件导入、AI重跑和失败重试合并计费。AI分析不等于员工独立业务分析；后续核实问题、形成建议或推动处理，按独立交付及发起来源另行认定，相同工作不重复计费。</t>
        </is>
      </c>
      <c r="E30" s="61" t="inlineStr">
        <is>
          <t>每周完成一次数据下载、数据库更新、AI分析及基本核验，计10元；不按数据条数分档。</t>
        </is>
      </c>
      <c r="F30" s="61" t="inlineStr">
        <is>
          <t>任务编号、数据期间、源文件、入库记录、AI分析结果及基本核验记录。</t>
        </is>
      </c>
      <c r="G30" s="61" t="inlineStr">
        <is>
          <t>本周数据已下载入库，导入成功且无明显遗漏或重复；AI结果正常生成并保存、无明显错误。只完成下载或只运行AI不算完整任务。</t>
        </is>
      </c>
    </row>
    <row r="31" ht="300" customHeight="1" s="1">
      <c r="A31" s="60" t="inlineStr">
        <is>
          <t>Review、Feedback与客户声音</t>
        </is>
      </c>
      <c r="B31" s="9" t="inlineStr">
        <is>
          <t>Listing问题处理</t>
        </is>
      </c>
      <c r="C31" s="9" t="inlineStr">
        <is>
          <t>根据系统分析结果，修改标题、五点、描述、Generic Keywords、图片、A+或视频，解决评论中发现的Listing问题</t>
        </is>
      </c>
      <c r="D31" s="61" t="inlineStr">
        <is>
          <t>本项作为VOC来源的任务入口；实际修改统一归Listing纠错、优化或素材维护，只保留一个主任务及关联编号。</t>
        </is>
      </c>
      <c r="E31" s="61" t="inlineStr">
        <is>
          <t>一张VOC关联的Listing问题单；登记ASIN和问题数量</t>
        </is>
      </c>
      <c r="F31" s="61" t="inlineStr">
        <is>
          <t>VOC问题与ASIN对应表、主任务编号、处理结论链接。</t>
        </is>
      </c>
      <c r="G31" s="61" t="inlineStr">
        <is>
          <t>问题已转为明确修改要求并关联主任务；实际成果按主任务验收，本入口不另加一次完成量或金额。</t>
        </is>
      </c>
    </row>
    <row r="32" ht="300" customHeight="1" s="1">
      <c r="A32" s="60" t="inlineStr">
        <is>
          <t>Review、Feedback与客户声音</t>
        </is>
      </c>
      <c r="B32" s="9" t="inlineStr">
        <is>
          <t>产品质量问题反馈</t>
        </is>
      </c>
      <c r="C32" s="9" t="inlineStr">
        <is>
          <t>根据系统识别出的质量、功能、尺寸、安装、包装等问题，与产品负责人沟通并跟进处理</t>
        </is>
      </c>
      <c r="D32" s="61" t="inlineStr">
        <is>
          <t>负责将VOC产品问题转给产品负责人并跟进约定节点；同一问题与售后反馈合并；不将产品开发执行计为运营成果。</t>
        </is>
      </c>
      <c r="E32" s="61" t="inlineStr">
        <is>
          <t>一张独立产品问题单；登记产品、问题类型和关联证据数量</t>
        </is>
      </c>
      <c r="F32" s="61" t="inlineStr">
        <is>
          <t>问题证据、影响范围、接收负责人、接收或反馈记录和下一节点。</t>
        </is>
      </c>
      <c r="G32" s="61" t="inlineStr">
        <is>
          <t>反馈信息足以支持判断，责任人已接收并明确处理安排；需持续跟进时完成约定节点，同一问题不按评论条数重复计。</t>
        </is>
      </c>
    </row>
    <row r="33" ht="300" customHeight="1" s="1">
      <c r="A33" s="60" t="inlineStr">
        <is>
          <t>库存与配送</t>
        </is>
      </c>
      <c r="B33" s="9" t="inlineStr">
        <is>
          <t>FBA货件问题处理</t>
        </is>
      </c>
      <c r="C33" s="9" t="inlineStr">
        <is>
          <t>查看FBA货件问题并核对情况，按实际情况接受或选择不接受并提交Appeal，完成处理记录。</t>
        </is>
      </c>
      <c r="D33" s="61" t="inlineStr">
        <is>
          <t>每个货件的同一问题计5元。同一货件、同一问题后续查看、重复提交及跟进不重复计费。不以Appeal成功为计费条件。</t>
        </is>
      </c>
      <c r="E33" s="61" t="inlineStr">
        <is>
          <t>每个货件的同一问题计5元。</t>
        </is>
      </c>
      <c r="F33" s="61" t="inlineStr">
        <is>
          <t>任务编号、处理对象及执行结果记录</t>
        </is>
      </c>
      <c r="G33" s="61" t="inlineStr">
        <is>
          <t>完成问题查看、核对及处理操作（接受或提交Appeal），处理记录已保存并核验提交状态。同一货件同一问题不重复计费。</t>
        </is>
      </c>
    </row>
    <row r="34" ht="300" customHeight="1" s="1">
      <c r="A34" s="60" t="inlineStr">
        <is>
          <t>库存与配送</t>
        </is>
      </c>
      <c r="B34" s="9" t="inlineStr">
        <is>
          <t>库存冗余折扣上传</t>
        </is>
      </c>
      <c r="C34" s="9" t="inlineStr">
        <is>
          <t>根据程序提供的SKU及折扣方案，完成折扣文件上传，检查处理结果并修正报错。</t>
        </is>
      </c>
      <c r="D34" s="61" t="inlineStr">
        <is>
          <t>同一批拆成多个文件、重复上传或重试不重复计费。不要求员工分析冗余原因或制定折扣方案，不以库存最终售出作为完成条件。与价格调整或促销创建属于同一次交付的，只结算一次。</t>
        </is>
      </c>
      <c r="E34" s="61" t="inlineStr">
        <is>
          <t>同一次安排的一批上传任务计10元，不按SKU数量增加。</t>
        </is>
      </c>
      <c r="F34" s="61" t="inlineStr">
        <is>
          <t>任务编号、处理对象及执行结果记录</t>
        </is>
      </c>
      <c r="G34" s="61" t="inlineStr">
        <is>
          <t>文件上传完成，处理结果已检查，报错已修正并确认生效；同一批次交付记录完整。</t>
        </is>
      </c>
    </row>
    <row r="35" ht="300" customHeight="1" s="1">
      <c r="A35" s="60" t="inlineStr">
        <is>
          <t>库存管理</t>
        </is>
      </c>
      <c r="B35" s="9" t="inlineStr">
        <is>
          <t>滞留库存—移除库存</t>
        </is>
      </c>
      <c r="C35" s="9" t="inlineStr">
        <is>
          <t>成功创建移除订单，核对SKU、数量及处理方式，保存订单编号。</t>
        </is>
      </c>
      <c r="D35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5" s="61" t="inlineStr">
        <is>
          <t>每批10元，不按SKU数量增加。</t>
        </is>
      </c>
      <c r="F35" s="61" t="inlineStr">
        <is>
          <t>SKU、原因、处理方式及相应订单／Case／资料记录</t>
        </is>
      </c>
      <c r="G35" s="61" t="inlineStr">
        <is>
          <t>成功创建移除订单，核对SKU、数量及处理方式，保存订单编号。</t>
        </is>
      </c>
    </row>
    <row r="36" ht="300" customHeight="1" s="1">
      <c r="A36" s="60" t="inlineStr">
        <is>
          <t>库存管理</t>
        </is>
      </c>
      <c r="B36" s="9" t="inlineStr">
        <is>
          <t>滞留库存—Relist重新发布</t>
        </is>
      </c>
      <c r="C36" s="9" t="inlineStr">
        <is>
          <t>完成重新发布，核验发布结果及滞留状态，保留处理记录。</t>
        </is>
      </c>
      <c r="D36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6" s="61" t="inlineStr">
        <is>
          <t>每批10元，不按SKU数量增加。</t>
        </is>
      </c>
      <c r="F36" s="61" t="inlineStr">
        <is>
          <t>SKU、原因、处理方式及相应订单／Case／资料记录</t>
        </is>
      </c>
      <c r="G36" s="61" t="inlineStr">
        <is>
          <t>完成重新发布，核验发布结果及滞留状态，保留处理记录。</t>
        </is>
      </c>
    </row>
    <row r="37" ht="300" customHeight="1" s="1">
      <c r="A37" s="60" t="inlineStr">
        <is>
          <t>库存管理</t>
        </is>
      </c>
      <c r="B37" s="9" t="inlineStr">
        <is>
          <t>滞留库存—申诉或Case处理</t>
        </is>
      </c>
      <c r="C37" s="9" t="inlineStr">
        <is>
          <t>核对原因、提交申诉或Case并跟进；问题解决，或材料及处理记录完整、由负责人确认阶段结案。</t>
        </is>
      </c>
      <c r="D37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7" s="61" t="inlineStr">
        <is>
          <t>每个独立问题15元，不按Case或提交次数增加。</t>
        </is>
      </c>
      <c r="F37" s="61" t="inlineStr">
        <is>
          <t>SKU、原因、处理方式及相应订单／Case／资料记录</t>
        </is>
      </c>
      <c r="G37" s="61" t="inlineStr">
        <is>
          <t>核对原因、提交申诉或Case并跟进；问题解决，或材料及处理记录完整、由负责人确认阶段结案。</t>
        </is>
      </c>
    </row>
    <row r="38" ht="300" customHeight="1" s="1">
      <c r="A38" s="60" t="inlineStr">
        <is>
          <t>库存管理</t>
        </is>
      </c>
      <c r="B38" s="9" t="inlineStr">
        <is>
          <t>滞留库存—已有电池／化学品资料提交</t>
        </is>
      </c>
      <c r="C38" s="9" t="inlineStr">
        <is>
          <t>核对资料与SKU的对应关系，提交并跟进审核结果，保存资料版本及处理记录。</t>
        </is>
      </c>
      <c r="D38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8" s="61" t="inlineStr">
        <is>
          <t>使用已有完整资料完成一批提交，计10元。</t>
        </is>
      </c>
      <c r="F38" s="61" t="inlineStr">
        <is>
          <t>SKU、原因、处理方式及相应订单／Case／资料记录</t>
        </is>
      </c>
      <c r="G38" s="61" t="inlineStr">
        <is>
          <t>核对资料与SKU的对应关系，提交并跟进审核结果，保存资料版本及处理记录。</t>
        </is>
      </c>
    </row>
    <row r="39" ht="300" customHeight="1" s="1">
      <c r="A39" s="60" t="inlineStr">
        <is>
          <t>库存管理</t>
        </is>
      </c>
      <c r="B39" s="9" t="inlineStr">
        <is>
          <t>滞留库存—电池／化学品资料协调与提交</t>
        </is>
      </c>
      <c r="C39" s="9" t="inlineStr">
        <is>
          <t>协调取得可用资料，核对SKU对应关系，完成提交并跟进审核结果；已包含资料提交，不另增加金额。</t>
        </is>
      </c>
      <c r="D39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9" s="61" t="inlineStr">
        <is>
          <t>需协调获取资料、核对并完成一批提交，计10元。</t>
        </is>
      </c>
      <c r="F39" s="61" t="inlineStr">
        <is>
          <t>SKU、原因、处理方式及相应订单／Case／资料记录</t>
        </is>
      </c>
      <c r="G39" s="61" t="inlineStr">
        <is>
          <t>协调取得可用资料，核对SKU对应关系，完成提交并跟进审核结果；已包含资料提交，不另增加金额。</t>
        </is>
      </c>
    </row>
    <row r="40" ht="300" customHeight="1" s="1">
      <c r="A40" s="60" t="inlineStr">
        <is>
          <t>数据与报表</t>
        </is>
      </c>
      <c r="B40" s="9" t="inlineStr">
        <is>
          <t>Category Report下载</t>
        </is>
      </c>
      <c r="C40" s="9" t="inlineStr">
        <is>
          <t>按要求每天下载、归档并核验，每周合并结算。</t>
        </is>
      </c>
      <c r="D40" s="61" t="inlineStr">
        <is>
          <t>固定例行工作，主动倍率×1。按天核验，按周结算。因假期、系统故障等不可控原因未下载的天数不计入应完成天数。同一天多次下载合并计费。</t>
        </is>
      </c>
      <c r="E40" s="61" t="inlineStr">
        <is>
          <t>金额＝5元×合格完成天数÷当周应完成天数。
当周无任务则不计费。</t>
        </is>
      </c>
      <c r="F40" s="61" t="inlineStr">
        <is>
          <t>每天下载文件、归档记录及核验结果。</t>
        </is>
      </c>
      <c r="G40" s="61" t="inlineStr">
        <is>
          <t>每天按时下载、归档并核验；按周统计合格完成天数，计算当周金额。</t>
        </is>
      </c>
    </row>
    <row r="41" ht="300" customHeight="1" s="1">
      <c r="A41" s="60" t="inlineStr">
        <is>
          <t>数据与报表</t>
        </is>
      </c>
      <c r="B41" s="9" t="inlineStr">
        <is>
          <t>关键词市场占有率统计及竞品检查</t>
        </is>
      </c>
      <c r="C41" s="9" t="inlineStr">
        <is>
          <t>按要求完成关键词的市场占有率数据统计及竞品检查。</t>
        </is>
      </c>
      <c r="D41" s="61" t="inlineStr">
        <is>
          <t>每个关键词每月结算一次。同一关键词同一月份不重复计费。数据采集、统计、竞品检查及结果记录包含在金额内。</t>
        </is>
      </c>
      <c r="E41" s="61" t="inlineStr">
        <is>
          <t>每个关键词每月：10元。
不按数据条数分档。</t>
        </is>
      </c>
      <c r="F41" s="61" t="inlineStr">
        <is>
          <t>关键词、数据期间、统计结果及竞品检查记录。</t>
        </is>
      </c>
      <c r="G41" s="61" t="inlineStr">
        <is>
          <t>完成指定关键词的市场占有率统计及竞品检查，结果记录完整并核验。</t>
        </is>
      </c>
    </row>
    <row r="42" ht="300" customHeight="1" s="1">
      <c r="A42" s="60" t="inlineStr">
        <is>
          <t>跨站点执行</t>
        </is>
      </c>
      <c r="B42" s="9" t="inlineStr">
        <is>
          <t>跨站点Listing创建</t>
        </is>
      </c>
      <c r="C42" s="9" t="inlineStr">
        <is>
          <t>将已有站点的商品信息翻译后在新站点创建Listing，完成SKU、价格、库存和配送方式设置。</t>
        </is>
      </c>
      <c r="D42" s="61" t="inlineStr">
        <is>
          <t>按目标站点计费，每个目标站点视为一个独立上架执行组。执行标准与US站Listing创建一致（含基础金额和难度系数）。不同站点分别计费；同一目标站点的同一次上架，只选一个上架项目计费。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E42" s="61" t="inlineStr">
        <is>
          <t>按目标站点分别计算上架执行组，与US站相同规则：
1个SKU：25元；2个及以上可共用上架表：40元。
各站点独立计费，再乘难度系数。</t>
        </is>
      </c>
      <c r="F42" s="61" t="inlineStr">
        <is>
          <t>上架清单、翻译记录、上传文件、父子关系及核验结果。</t>
        </is>
      </c>
      <c r="G42" s="61" t="inlineStr">
        <is>
          <t>按US站Listing创建标准验收。目标站点Listing创建结果核验完成。不同站点分别计费。</t>
        </is>
      </c>
    </row>
    <row r="43" ht="300" customHeight="1" s="1">
      <c r="A43" s="60" t="inlineStr">
        <is>
          <t>跨站点执行</t>
        </is>
      </c>
      <c r="B43" s="9" t="inlineStr">
        <is>
          <t>A+翻译后发布（非新策划）</t>
        </is>
      </c>
      <c r="C43" s="9" t="inlineStr">
        <is>
          <t>将已有A+内容翻译为目标站点语言，提交发布并核验。</t>
        </is>
      </c>
      <c r="D43" s="61" t="inlineStr">
        <is>
          <t>与全新制作A+（75元/份）区分：本项为已有A+的翻译发布。同一次安排、同一份原A+内容为一批，不按站点数量或SKU数量累加。不同原A+内容分别计费。同一批翻译发布拆文件、重复提交不增加批次。</t>
        </is>
      </c>
      <c r="E43" s="61" t="inlineStr">
        <is>
          <t>每批翻译后发布：10元。
同一次安排、同一份原A+内容为一批；
不同原A+内容分别计费。</t>
        </is>
      </c>
      <c r="F43" s="61" t="inlineStr">
        <is>
          <t>原A+内容编号、翻译记录、提交结果及核验记录。</t>
        </is>
      </c>
      <c r="G43" s="61" t="inlineStr">
        <is>
          <t>翻译后A+已发布并核验。同一批翻译不重复计费。</t>
        </is>
      </c>
    </row>
    <row r="44" ht="300" customHeight="1" s="1">
      <c r="A44" s="60" t="inlineStr">
        <is>
          <t>跨站点执行</t>
        </is>
      </c>
      <c r="B44" s="9" t="inlineStr">
        <is>
          <t>翻译后批量更新Listing文案</t>
        </is>
      </c>
      <c r="C44" s="9" t="inlineStr">
        <is>
          <t>已提供文案，翻译后批量更新标题、五点、描述等。</t>
        </is>
      </c>
      <c r="D44" s="61" t="inlineStr">
        <is>
          <t>与独立重写区分：本项为已有文案的翻译更新。同一批翻译更新拆文件、重复上传不增加批次。</t>
        </is>
      </c>
      <c r="E44" s="61" t="inlineStr">
        <is>
          <t>每批翻译更新：10元。
按同一次安排的一批任务计费。</t>
        </is>
      </c>
      <c r="F44" s="61" t="inlineStr">
        <is>
          <t>文案来源、翻译记录、上传结果及核验记录。</t>
        </is>
      </c>
      <c r="G44" s="61" t="inlineStr">
        <is>
          <t>翻译文案已更新并核验。同一批不重复计费。</t>
        </is>
      </c>
    </row>
    <row r="45" ht="420" customHeight="1" s="1">
      <c r="A45" s="60" t="inlineStr">
        <is>
          <t>新品开发</t>
        </is>
      </c>
      <c r="B45" s="9" t="inlineStr">
        <is>
          <t>市场调研与产品建议</t>
        </is>
      </c>
      <c r="C45" s="9" t="inlineStr">
        <is>
          <t>分析竞品、需求、价格区间、关键规格、客户反馈及初步利润空间，提出产品建议和风险判断。数据注明来源、期间及估算口径。</t>
        </is>
      </c>
      <c r="D45" s="61" t="inlineStr">
        <is>
          <t>调研完整且结论有依据，经负责人确认。无需凑固定竞品数量；结论为不建议开发时，已完成且通过验收的调研照常计费。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开发计酬：同一产品用途、核心设计和供应方案，仅尺寸、电压、颜色等参数不同且可共用交付的SKU，按一个系列开发项目登记，共用阶段只计一次，不按SKU数量乘开发总金额。参数变化本身不等于工作相同，涉及不同安全要求、功能、结构或性能验证时，应记录实际差异并事先确认独立工作范围。新SKU、新OA编号或跨月不自动构成新项目。详见“系列开发计酬”。</t>
        </is>
      </c>
      <c r="E45" s="61" t="inlineStr">
        <is>
          <t>75元/独立开发项目的本阶段交付；同系列共用调研或厂家方案只计一次，不按SKU数累加。</t>
        </is>
      </c>
      <c r="F45" s="61" t="inlineStr">
        <is>
          <t>调研报告、数据来源、初步利润测算和开发建议。</t>
        </is>
      </c>
      <c r="G45" s="61" t="inlineStr">
        <is>
          <t>调研完整且结论有依据，经负责人确认。无需凑固定竞品数量；结论为不建议开发时，已完成且通过验收的调研照常计费。</t>
        </is>
      </c>
    </row>
    <row r="46" ht="420" customHeight="1" s="1">
      <c r="A46" s="60" t="inlineStr">
        <is>
          <t>新品开发</t>
        </is>
      </c>
      <c r="B46" s="9" t="inlineStr">
        <is>
          <t>厂家筛选、报价与合作条件确认</t>
        </is>
      </c>
      <c r="C46" s="9" t="inlineStr">
        <is>
          <t>寻找并核实匹配的厂家，比较有效报价、MOQ、交期、包装及定制条件，确认关键费用、供货能力和合作限制，提出选择建议。</t>
        </is>
      </c>
      <c r="D46" s="61" t="inlineStr">
        <is>
          <t>关键合作条件清楚且有记录，经负责人确认。按完整找厂与条件确认交付计费，不按联系次数或报价份数计；无合适厂家时须提供完整调查结论并经负责人确认结案。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开发计酬：同一产品用途、核心设计和供应方案，仅尺寸、电压、颜色等参数不同且可共用交付的SKU，按一个系列开发项目登记，共用阶段只计一次，不按SKU数量乘开发总金额。参数变化本身不等于工作相同，涉及不同安全要求、功能、结构或性能验证时，应记录实际差异并事先确认独立工作范围。新SKU、新OA编号或跨月不自动构成新项目。详见“系列开发计酬”。</t>
        </is>
      </c>
      <c r="E46" s="61" t="inlineStr">
        <is>
          <t>75元/独立开发项目的本阶段交付；同系列共用调研或厂家方案只计一次，不按SKU数累加。</t>
        </is>
      </c>
      <c r="F46" s="61" t="inlineStr">
        <is>
          <t>厂家比较表、有效报价、条件确认记录及推荐结论。</t>
        </is>
      </c>
      <c r="G46" s="61" t="inlineStr">
        <is>
          <t>关键合作条件清楚且有记录，经负责人确认。按完整找厂与条件确认交付计费，不按联系次数或报价份数计；无合适厂家时须提供完整调查结论并经负责人确认结案。</t>
        </is>
      </c>
    </row>
    <row r="47" ht="420" customHeight="1" s="1">
      <c r="A47" s="3" t="inlineStr">
        <is>
          <t>新品开发</t>
        </is>
      </c>
      <c r="B47" s="3" t="inlineStr">
        <is>
          <t>样品评估及问题跟进</t>
        </is>
      </c>
      <c r="C47" s="3" t="inlineStr">
        <is>
          <t>按事先确认的验证要求完成样品检查或协调测试，记录问题、跟进整改及复测，形成通过、修改或停止结论。</t>
        </is>
      </c>
      <c r="D47" s="3" t="inlineStr">
        <is>
          <t>形成可供决策的验证结论并经负责人验收；继续修改中不自动结案。同一轮原问题补测、整改、催办合并计费；新增独立验证范围须事先确认，不按每次样品到货计75元。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开发计酬：同一产品用途、核心设计和供应方案，仅尺寸、电压、颜色等参数不同且可共用交付的SKU，按一个系列开发项目登记，共用阶段只计一次，不按SKU数量乘开发总金额。参数变化本身不等于工作相同，涉及不同安全要求、功能、结构或性能验证时，应记录实际差异并事先确认独立工作范围。新SKU、新OA编号或跨月不自动构成新项目。详见“系列开发计酬”。</t>
        </is>
      </c>
      <c r="E47" s="3" t="inlineStr">
        <is>
          <t>75元/事先约定的独立样品验证任务；同一验证方案内的不同参数检查、原问题整改及复测合并。不因样品或SKU数量增加而自动增加任务数。</t>
        </is>
      </c>
      <c r="F47" s="3" t="inlineStr">
        <is>
          <t>验证范围、样品及测试记录、问题清单、整改结果和确认结论。</t>
        </is>
      </c>
      <c r="G47" s="3" t="inlineStr">
        <is>
          <t>形成可供决策的验证结论并经负责人验收；继续修改中不自动结案。同一轮原问题补测、整改、催办合并计费；新增独立验证范围须事先确认，不按每次样品到货计75元。</t>
        </is>
      </c>
    </row>
    <row r="48" ht="420" customHeight="1" s="1">
      <c r="A48" s="3" t="inlineStr">
        <is>
          <t>新品开发与内容准备</t>
        </is>
      </c>
      <c r="B48" s="3" t="inlineStr">
        <is>
          <t>产品资料整理与确认</t>
        </is>
      </c>
      <c r="C48" s="3" t="inlineStr">
        <is>
          <t>整理规格、功能、卖点依据、适用场景及包装清单，向厂家确认缺失或矛盾信息，形成可供内容编写使用的事实资料。</t>
        </is>
      </c>
      <c r="D48" s="3" t="inlineStr">
        <is>
          <t>主动核实产品规格、功能、使用方式、限制、卖点依据及包装内容，向厂家解决缺失或矛盾信息，形成经确认的可用事实资料。已有完整资料仅汇总、复制或直接使用不计本项。调研、找厂、样品任务已交付的相同资料不再计40元；只有额外核实、补全且独立验收的资料工作才计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开发计酬：同一产品用途、核心设计和供应方案，仅尺寸、电压、颜色等参数不同且可共用交付的SKU，按一个系列开发项目登记，共用阶段只计一次，不按SKU数量乘开发总金额。参数变化本身不等于工作相同，涉及不同安全要求、功能、结构或性能验证时，应记录实际差异并事先确认独立工作范围。新SKU、新OA编号或跨月不自动构成新项目。详见“系列开发计酬”。</t>
        </is>
      </c>
      <c r="E48" s="3" t="inlineStr">
        <is>
          <t>40元／独立产品资料套。</t>
        </is>
      </c>
      <c r="F48" s="3" t="inlineStr">
        <is>
          <t>确认后的资料表、厂家确认记录、信息来源及版本。</t>
        </is>
      </c>
      <c r="G48" s="3" t="inlineStr">
        <is>
          <t>资料准确完整，经负责人确认可用于内容编写。已有完整资料无需重新整理时不计本项；不重复计入找厂、样品评估等任务已包含的相同交付。</t>
        </is>
      </c>
    </row>
    <row r="49" ht="420" customHeight="1" s="1">
      <c r="A49" s="3" t="inlineStr">
        <is>
          <t>新品开发与内容准备</t>
        </is>
      </c>
      <c r="B49" s="3" t="inlineStr">
        <is>
          <t>产品图片策划</t>
        </is>
      </c>
      <c r="C49" s="3" t="inlineStr">
        <is>
          <t>构思产品主图及辅图，明确每张图的展示内容、卖点、参数和文字，提供参考及美工制作要求，跟进修改并核验成图。</t>
        </is>
      </c>
      <c r="D49" s="3" t="inlineStr">
        <is>
          <t>明确主图和辅图各自展示内容、卖点、参数、文案及参考，提出美工制作要求，跟进修改并核验成图。同一方案多SKU共用只计一次50元；同轮沟通、修改及核验均包含。实际拍摄和修图不属于本人任务。图片上传另按10元/SKU；A+素材策划已含A+75元，相同交付不再计本项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开发计酬：同一产品用途、核心设计和供应方案，仅尺寸、电压、颜色等参数不同且可共用交付的SKU，按一个系列开发项目登记，共用阶段只计一次，不按SKU数量乘开发总金额。参数变化本身不等于工作相同，涉及不同安全要求、功能、结构或性能验证时，应记录实际差异并事先确认独立工作范围。新SKU、新OA编号或跨月不自动构成新项目。详见“系列开发计酬”。</t>
        </is>
      </c>
      <c r="E49" s="3" t="inlineStr">
        <is>
          <t>50元／独立产品图片方案，不按图片张数累加。</t>
        </is>
      </c>
      <c r="F49" s="3" t="inlineStr">
        <is>
          <t>图片方案、逐图说明、文案及参考、美工交付图片和核验记录。</t>
        </is>
      </c>
      <c r="G49" s="3" t="inlineStr">
        <is>
          <t>方案明确且成图符合确认要求；同轮沟通、修改、核验均包含。实际拍摄、修图不属于本人工作；图片上传另按现有规则。A+内素材策划已含A+分，不再计本项。</t>
        </is>
      </c>
    </row>
    <row r="50" ht="420" customHeight="1" s="1">
      <c r="A50" s="3" t="inlineStr">
        <is>
          <t>新品开发与内容准备</t>
        </is>
      </c>
      <c r="B50" s="3" t="inlineStr">
        <is>
          <t>视频字幕文案编写</t>
        </is>
      </c>
      <c r="C50" s="3" t="inlineStr">
        <is>
          <t>根据已明确的视频内容编写字幕，核对产品参数及表述，并对应视频段落或时间位置，交付可使用的定稿。</t>
        </is>
      </c>
      <c r="D50" s="3" t="inlineStr">
        <is>
          <t>理解产品和视频内容，编写准确且与画面对应的字幕，核对参数及表述，提供段落或时间对应并交付经确认的可用定稿。不包含完整视频脚本策划、拍摄、剪辑。直接使用已有字幕不计编写金额；同稿反复修改不另计，视频上传另按原规则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开发计酬：同一产品用途、核心设计和供应方案，仅尺寸、电压、颜色等参数不同且可共用交付的SKU，按一个系列开发项目登记，共用阶段只计一次，不按SKU数量乘开发总金额。参数变化本身不等于工作相同，涉及不同安全要求、功能、结构或性能验证时，应记录实际差异并事先确认独立工作范围。新SKU、新OA编号或跨月不自动构成新项目。详见“系列开发计酬”。</t>
        </is>
      </c>
      <c r="E50" s="3" t="inlineStr">
        <is>
          <t>25元／独立视频字幕稿。</t>
        </is>
      </c>
      <c r="F50" s="3" t="inlineStr">
        <is>
          <t>对应视频／内容编号、字幕定稿、段落或时间对应、核验及确认记录。</t>
        </is>
      </c>
      <c r="G50" s="3" t="inlineStr">
        <is>
          <t>字幕准确、与视频匹配且经确认可使用；不包含完整视频脚本策划、拍摄、剪辑。已有字幕直接使用不计编写金额；同稿反复修改不另计，视频上传另按原规则。</t>
        </is>
      </c>
    </row>
    <row r="51" ht="320" customHeight="1" s="1">
      <c r="A51" s="3" t="inlineStr">
        <is>
          <t>数据与经营分析</t>
        </is>
      </c>
      <c r="B51" s="3" t="inlineStr">
        <is>
          <t>利润或亏损原因分析与优化建议</t>
        </is>
      </c>
      <c r="C51" s="3" t="inlineStr">
        <is>
          <t>核查收入、售价与折扣、采购成本、运输及平台费用、广告、退货损失等相关因素，明确利润口径及对比期间，找出主要变化原因。必须给出有依据的优化建议，说明建议动作、预期作用、优先级及必要验证；不要求建议已执行或利润已改善。</t>
        </is>
      </c>
      <c r="D51" s="3" t="inlineStr">
        <is>
          <t>按需指派，不设固定频次。完整分析30元；有数据证据但关键判断未核实，经负责人确认按初步成果结案计15元；仅转发报表或AI原文、无证据或无具体建议，退回补充，暂不结算。初步15元后补成完整分析只补15元，同一任务累计基础金额30元。不以篇幅长短判定；关键数据不可得须说明原因，不自动减半。独立分析与后续独立执行分别验收，相同分析若已包含在其他任务中不重复计酬。同一范围及期间的销量、利润和活动分析使用同一交付时只选一项，不按报告名称重复计费。本人责任纠错不另计酬。负责人安排倍率1；自主发起按未明确项目暂为1，不自行套用高倍率。</t>
        </is>
      </c>
      <c r="E51" s="3" t="inlineStr">
        <is>
          <t>同一站点、一个ASIN、同一次独立利润问题分析：完整30元，初步15元。多个SKU对应同一ASIN不重复计费；多个ASIN共用同一份分析合并，分别独立分析并验收才分别计费。</t>
        </is>
      </c>
      <c r="F51" s="3" t="inlineStr">
        <is>
          <t>数据来源与期间、利润测算口径、变化拆解、原因证据、优化建议及负责人验收。</t>
        </is>
      </c>
      <c r="G51" s="3" t="inlineStr">
        <is>
          <t>核实数据，提交原因判断、证据和可执行建议，经负责人按完整或初步档位验收。</t>
        </is>
      </c>
    </row>
    <row r="52" ht="320" customHeight="1" s="1">
      <c r="A52" s="3" t="inlineStr">
        <is>
          <t>数据与经营分析</t>
        </is>
      </c>
      <c r="B52" s="3" t="inlineStr">
        <is>
          <t>活动效果复盘</t>
        </is>
      </c>
      <c r="C52" s="3" t="inlineStr">
        <is>
          <t>对比活动前、活动期间及适当的后续期间，核查销量、流量、转化、优惠成本、活动费用、广告投入、利润及库存变化。记录同期价格、断货及其他促销影响，不将销售增长直接等同活动增量。给出继续、调整或停止建议及证据。</t>
        </is>
      </c>
      <c r="D52" s="3" t="inlineStr">
        <is>
          <t>按需指派，不设固定频次。完整分析30元；有数据证据但关键判断未核实，经负责人确认按初步成果结案计15元；仅转发报表或AI原文、无证据或无具体建议，退回补充，暂不结算。初步15元后补成完整分析只补15元，同一任务累计基础金额30元。不以篇幅长短判定；关键数据不可得须说明原因，不自动减半。独立分析与后续独立执行分别验收，相同分析若已包含在其他任务中不重复计酬。同一范围及期间的销量、利润和活动分析使用同一交付时只选一项，不按报告名称重复计费。本人责任纠错不另计酬。负责人安排倍率1；自主发起按未明确项目暂为1，不自行套用高倍率。</t>
        </is>
      </c>
      <c r="E52" s="3" t="inlineStr">
        <is>
          <t>同一站点、一个独立Coupon／Promotion／Deal活动、一次完整复盘：30元；初步15元。活动包含多个ASIN仍按一份复盘计费；若同一方案的多个活动共用一份报告，合并计费。</t>
        </is>
      </c>
      <c r="F52" s="3" t="inlineStr">
        <is>
          <t>活动ID、站点和ASIN范围、对比期间与数据来源、成本收益口径、同期影响因素、分析结论及后续建议。</t>
        </is>
      </c>
      <c r="G52" s="3" t="inlineStr">
        <is>
          <t>核实数据，提交原因判断、证据和可执行建议，经负责人按完整或初步档位验收。</t>
        </is>
      </c>
    </row>
    <row r="53" ht="320" customHeight="1" s="1">
      <c r="A53" s="0" t="inlineStr">
        <is>
          <t>费用与异常处理</t>
        </is>
      </c>
      <c r="B53" s="0" t="inlineStr">
        <is>
          <t>费用异常核查与Case申诉</t>
        </is>
      </c>
      <c r="C53" s="0" t="inlineStr">
        <is>
          <t>核对实际收费与对应商品尺寸、重量、适用计费依据或交易记录，整理费用差异及证据，提交Case并跟进回复、补充资料及核验处理结果。适用于商品尺寸重量引起的费用疑问或其他收费异常；不包含普通FBA货件问题。</t>
        </is>
      </c>
      <c r="D53" s="0" t="inlineStr">
        <is>
          <t>包含异常核查、差额计算、证据整理、Case提交及补充跟进，不另叠加利润分析或Listing异常处理的相同交付。平台是否退款／更正与任务完成分别记录；处理完成并核验，或证据及回复完整且负责人确认阶段结案后计酬。仍处理中暂不结算，同一问题阶段结案后恢复或到账不重复计费。不以退款金额或催办次数加价。本人责任纠错不另计酬。负责人安排倍率1；主动发现并完成处理，按异常处理主动倍率1.5，即30元。</t>
        </is>
      </c>
      <c r="E53" s="0" t="inlineStr">
        <is>
          <t>20元/独立费用问题（含核查、证据整理、开Case及跟进）。同站点、同类收费原因且共用证据与处理过程的对象合并；不按ASIN、SKU、收费记录或Case数量累加。</t>
        </is>
      </c>
      <c r="F53" s="0" t="inlineStr">
        <is>
          <t>费用类型、涉及商品或交易、实际收费及依据、证据、Case编号、最终回复、费用更正／退款核验或负责人阶段结案记录。</t>
        </is>
      </c>
      <c r="G53" s="0" t="inlineStr">
        <is>
          <t>处理结果核验完成，或凭证齐全且负责人确认阶段结案。</t>
        </is>
      </c>
    </row>
    <row r="54" ht="360" customHeight="1" s="1">
      <c r="A54" s="0" t="inlineStr">
        <is>
          <t>品牌保护</t>
        </is>
      </c>
      <c r="B54" s="0" t="inlineStr">
        <is>
          <t>跟卖监控</t>
        </is>
      </c>
      <c r="C54" s="0" t="inlineStr">
        <is>
          <t>按要求检查指定ASIN的其他报价及卖家变化，记录时间、ASIN、卖家标识、价格及可获得证据，发现疑似异常及时报告。</t>
        </is>
      </c>
      <c r="D54" s="0" t="inlineStr">
        <is>
          <t>固定监控倍率1；程序自动监控且无需人工核验不计人工任务金额。未发现异常但完成约定核验仍可验收。监控记录与后续独立取证投诉可分别计费，同一发现不额外领取发现费。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4" s="0" t="inlineStr">
        <is>
          <t>5元/站点/约定监控清单/自然周。按完成的约定检查次数÷应检查次数折算；当周无任务为0。不得拆清单提高金额。</t>
        </is>
      </c>
      <c r="F54" s="0" t="inlineStr">
        <is>
          <t>清单、应查及实查记录、异常及通知记录。</t>
        </is>
      </c>
      <c r="G54" s="0" t="inlineStr">
        <is>
          <t>按周验收，无异常也可完成；本周全部检查完成5元。</t>
        </is>
      </c>
    </row>
    <row r="55" ht="360" customHeight="1" s="1">
      <c r="A55" s="0" t="inlineStr">
        <is>
          <t>品牌保护</t>
        </is>
      </c>
      <c r="B55" s="0" t="inlineStr">
        <is>
          <t>跟卖取证与举报／Case处理</t>
        </is>
      </c>
      <c r="C55" s="0" t="inlineStr">
        <is>
          <t>核实疑似违规；确需Test Buy时经负责人确认采购及预算，跟进收货、保留订单与实物照片并核对差异。依据证据选择亚马逊举报、Case或Brand Registry适用渠道，跟进处理及报价状态。</t>
        </is>
      </c>
      <c r="D55" s="0" t="inlineStr">
        <is>
          <t>站点＋被举报卖家＋同一违规事实及共用证据为案件范围；多ASIN共用证据处理时合并，多渠道或多Case不累加。存在其他报价不等于违规；不以未获品牌授权直接认定假货，不提交无依据投诉。下架后核验，或调查及跟进完整、负责人确认阶段结案后计酬；未下架不自动判定未完成。Test Buy未发现违规时提交证据与不投诉结论，可按实际取证范围由负责人结案，确已完成完整Test Buy调查可计50元。样品购买不叠加样品备货协调分；同一交付不叠加Buy Box或Listing申诉。主动发现并完成案件处理倍率1.5；仅例行监控后按既定职责处理，按正常履职确认来源。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5" s="0" t="inlineStr">
        <is>
          <t>已有有效证据，完成核查、举报／Case及跟进：30元/独立案件；另需完成Test Buy取证全过程：整案50元。两档只取最高，先结30元后补足最多20元。</t>
        </is>
      </c>
      <c r="F55" s="0" t="inlineStr">
        <is>
          <t>案件编号、卖家及ASIN、订单/收货证据、差异判断、投诉依据、Case与回复、状态核验及结案确认。</t>
        </is>
      </c>
      <c r="G55" s="0" t="inlineStr">
        <is>
          <t>多渠道反复投诉仍30元；独立完成Test Buy取证及案件处理50元。实际货款运费另行处理。</t>
        </is>
      </c>
    </row>
    <row r="56" ht="360" customHeight="1" s="1">
      <c r="A56" s="0" t="inlineStr">
        <is>
          <t>品牌项目</t>
        </is>
      </c>
      <c r="B56" s="0" t="inlineStr">
        <is>
          <t>Vine报名与跟进</t>
        </is>
      </c>
      <c r="C56" s="0" t="inlineStr">
        <is>
          <t>核对参与资格、商品、库存、报名数量及费用，按确认方案报名，核验提交结果并记录约定跟进节点的领取和评论状态。</t>
        </is>
      </c>
      <c r="D56" s="0" t="inlineStr">
        <is>
          <t>首次资格核查、报名、常规修正和约定节点跟进合并15元；派单时约定验收节点，不逐周重复收费。不以好评、星级或评论必然产生作为验收条件，不要求员工干预评论。平台报名费及赠送商品成本不含任务金额。早期评论人计划已停止，不设该项目任务。自主发起仍按未明确项目倍率1，后续另定不自动套高倍率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6" s="0" t="inlineStr">
        <is>
          <t>15元/独立Vine报名项目。以后台报名记录去重，不按子SKU、领取件数或评论数量累加。</t>
        </is>
      </c>
      <c r="F56" s="0" t="inlineStr">
        <is>
          <t>报名ID、商品范围、费用确认、报名结果、约定节点状态及负责人验收。</t>
        </is>
      </c>
      <c r="G56" s="0" t="inlineStr">
        <is>
          <t>一个报名项目覆盖多个子SKU：15元；同一报名重复查看或修改不新增报酬。</t>
        </is>
      </c>
    </row>
    <row r="57" ht="360" customHeight="1" s="1">
      <c r="A57" s="0" t="inlineStr">
        <is>
          <t>品牌内容</t>
        </is>
      </c>
      <c r="B57" s="0" t="inlineStr">
        <is>
          <t>Brand Story品牌故事制作与维护</t>
        </is>
      </c>
      <c r="C57" s="0" t="inlineStr">
        <is>
          <t>构思品牌故事、文案及图片要求，协调制作，设置卡片和链接、提交并核验；或按确认范围修改现有内容、维护ASIN绑定。</t>
        </is>
      </c>
      <c r="D57" s="0" t="inlineStr">
        <is>
          <t>新建75元含策划、制作跟进、发布及首次绑定；同一内容多ASIN共用只计一次。局部修改不按卡片数量累加。新建或重做不叠加局部修改；同一份内容不再领取A+制作/修改或相同素材图片策划金额。不同的产品A+与品牌故事确有独立交付时可分别验收。自主实质重做有证据方案且完成复盘适用内容重写倍率2；自主局部维护或绑定倍率1.5；首次制作按发布核验，后续优化按复盘规则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7" s="0" t="inlineStr">
        <is>
          <t>全新策划或完全重做：75元/独立内容；局部修改：10元/同份同轮；仅为已有内容新增绑定：5元/ASIN。</t>
        </is>
      </c>
      <c r="F57" s="0" t="inlineStr">
        <is>
          <t>内容ID、方案/修改前后记录、素材、链接及绑定范围、发布核验；优化另附原因和复盘。</t>
        </is>
      </c>
      <c r="G57" s="0" t="inlineStr">
        <is>
          <t>同份品牌故事应用20个ASIN，新建合计75元；后续独立绑定3个ASIN计15元。</t>
        </is>
      </c>
    </row>
    <row r="58" ht="360" customHeight="1" s="1">
      <c r="A58" s="0" t="inlineStr">
        <is>
          <t>订阅销售</t>
        </is>
      </c>
      <c r="B58" s="0" t="inlineStr">
        <is>
          <t>Subscribe &amp; Save设置与管理</t>
        </is>
      </c>
      <c r="C58" s="0" t="inlineStr">
        <is>
          <t>核对后台可参与商品及资格，按负责人确认方案加入或退出商品、设置或调整订阅优惠，并核验参与状态、折扣及生效情况。</t>
        </is>
      </c>
      <c r="D58" s="0" t="inlineStr">
        <is>
          <t>不按SKU、订阅订单或设置次数累加；不把平台自动加入、自动折扣或无需人工的变化当作任务。默认按确认方案执行；员工主动发现独立机会并完成，经认定可按促销执行倍率1.5。设置已含的参数修正不另计，不与同一价格或促销交付重复计费。不以产生订阅订单作为执行验收条件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8" s="0" t="inlineStr">
        <is>
          <t>同次安排、同站点、同一订阅方案的一批设置或更新：10元。包含多个ASIN或多个调整动作仍计一次。</t>
        </is>
      </c>
      <c r="F58" s="0" t="inlineStr">
        <is>
          <t>方案与费用/折扣确认、商品清单、修改记录和状态核验。</t>
        </is>
      </c>
      <c r="G58" s="0" t="inlineStr">
        <is>
          <t>同批10个ASIN加入并设折扣：10元；主动任务符合1.5倍时15元。</t>
        </is>
      </c>
    </row>
    <row r="59" ht="360" customHeight="1" s="1">
      <c r="A59" s="0" t="inlineStr">
        <is>
          <t>组合销售</t>
        </is>
      </c>
      <c r="B59" s="0" t="inlineStr">
        <is>
          <t>Virtual Bundle创建与维护</t>
        </is>
      </c>
      <c r="C59" s="0" t="inlineStr">
        <is>
          <t>核对后台资格及组成商品，按确认组合填写文案、图片、价格等可编辑资料，创建并核验；维护时按后台实际允许的字段更新及核验。</t>
        </is>
      </c>
      <c r="D59" s="0" t="inlineStr">
        <is>
          <t>新建包含初始配置、提交、常规报错修正及核验，不再叠加普通Listing创建、初始文案填入或图片上传。需要独立原创内容或素材策划且不属创建中已有资料改写时，按对应独立交付验收，相同工作只计一次。FBA虚拟组合不计重新包装或实物发货任务。不得通过重复建立相同组合、删后重建或拆分任务增加金额；后台不允许编辑的组成变更须先确认方案。主动专项倍率暂按未明确项目1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9" s="0" t="inlineStr">
        <is>
          <t>新建：25元/独立虚拟捆绑商品；已有捆绑同轮内容或可编辑设置维护：10元/个。</t>
        </is>
      </c>
      <c r="F59" s="0" t="inlineStr">
        <is>
          <t>捆绑ID、组成ASIN、价格及方案确认、内容记录、创建或更新结果核验。</t>
        </is>
      </c>
      <c r="G59" s="0" t="inlineStr">
        <is>
          <t>新建1个虚拟组合25元；同组合本轮改标题和价格合计10元；新建时这些初始配置不另加10元。</t>
        </is>
      </c>
    </row>
    <row r="61" ht="60" customHeight="1" s="1">
      <c r="A61" s="133" t="inlineStr">
        <is>
          <t>项目状态与规则来源（核对日期2026-09-08；参与资格以目标站点后台为准，任务金额为内部建议，并非亚马逊收费标准）。早期评论人计划已停止，仅保留Vine。</t>
        </is>
      </c>
    </row>
    <row r="62" ht="65" customHeight="1" s="1">
      <c r="A62" s="133" t="inlineStr">
        <is>
          <t>早期评论人计划停止公告</t>
        </is>
      </c>
      <c r="B62" s="133" t="inlineStr">
        <is>
          <t>https://sellercentral.amazon.com/seller-forums/discussions/t/2bb2eaeec50cbc448f676c1a6f000ff9</t>
        </is>
      </c>
    </row>
    <row r="63" ht="65" customHeight="1" s="1">
      <c r="A63" s="133" t="inlineStr">
        <is>
          <t>Vine</t>
        </is>
      </c>
      <c r="B63" s="133" t="inlineStr">
        <is>
          <t>https://sell.amazon.com/programs/vine</t>
        </is>
      </c>
    </row>
    <row r="64" ht="65" customHeight="1" s="1">
      <c r="A64" s="133" t="inlineStr">
        <is>
          <t>Subscribe &amp; Save</t>
        </is>
      </c>
      <c r="B64" s="133" t="inlineStr">
        <is>
          <t>https://sell.amazon.com/programs/subscribe-and-save/</t>
        </is>
      </c>
    </row>
    <row r="65" ht="65" customHeight="1" s="1">
      <c r="A65" s="133" t="inlineStr">
        <is>
          <t>Virtual Bundles</t>
        </is>
      </c>
      <c r="B65" s="133" t="inlineStr">
        <is>
          <t>https://sell.amazon.com/blog/product-bundling</t>
        </is>
      </c>
    </row>
    <row r="66" ht="65" customHeight="1" s="1">
      <c r="A66" s="133" t="inlineStr">
        <is>
          <t>品牌故事</t>
        </is>
      </c>
      <c r="B66" s="133" t="inlineStr">
        <is>
          <t>https://sell.amazon.com/tools/a-content</t>
        </is>
      </c>
    </row>
    <row r="67" ht="65" customHeight="1" s="1">
      <c r="A67" s="133" t="inlineStr">
        <is>
          <t>品牌保护与Test Buy</t>
        </is>
      </c>
      <c r="B67" s="133" t="inlineStr">
        <is>
          <t>https://sell.amazon.com/brand-registry/project-zero/</t>
        </is>
      </c>
    </row>
    <row r="68" ht="65" customHeight="1" s="1">
      <c r="A68" s="133" t="inlineStr">
        <is>
          <t>正品转售说明</t>
        </is>
      </c>
      <c r="B68" s="133" t="inlineStr">
        <is>
          <t>https://sell.amazon.com/blog/sell-branded-products-on-amazon</t>
        </is>
      </c>
    </row>
  </sheetData>
  <mergeCells count="1">
    <mergeCell ref="A61:G6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/>
  </sheetPr>
  <dimension ref="A1:I101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ColWidth="9" defaultRowHeight="12.35000038146973"/>
  <cols>
    <col width="18" customWidth="1" style="42" min="1" max="1"/>
    <col width="27" customWidth="1" style="42" min="2" max="2"/>
    <col width="17" customWidth="1" style="42" min="3" max="3"/>
    <col width="13" customWidth="1" style="42" min="4" max="4"/>
    <col width="48" customWidth="1" style="42" min="5" max="5"/>
    <col width="45" customWidth="1" style="42" min="6" max="6"/>
    <col width="23" customWidth="1" style="42" min="7" max="7"/>
    <col width="65" customWidth="1" style="42" min="8" max="8"/>
    <col width="52" customWidth="1" style="42" min="9" max="9"/>
    <col width="10" customWidth="1" style="42" min="10" max="11"/>
    <col width="9" customWidth="1" style="42" min="12" max="16384"/>
  </cols>
  <sheetData>
    <row r="1">
      <c r="A1" s="43" t="n"/>
      <c r="B1" s="43" t="n"/>
      <c r="C1" s="43" t="n"/>
      <c r="D1" s="43" t="n"/>
      <c r="E1" s="43" t="n"/>
      <c r="F1" s="43" t="n"/>
      <c r="G1" s="43" t="n"/>
      <c r="H1" s="43" t="n"/>
    </row>
    <row r="2">
      <c r="A2" s="44" t="inlineStr">
        <is>
          <t>亚马逊运营与新品开发任务绩效金额标准</t>
        </is>
      </c>
      <c r="B2" s="43" t="n"/>
      <c r="C2" s="43" t="n"/>
      <c r="D2" s="43" t="n"/>
      <c r="E2" s="43" t="n"/>
      <c r="F2" s="43" t="n"/>
      <c r="G2" s="43" t="n"/>
      <c r="H2" s="43" t="n"/>
    </row>
    <row r="3">
      <c r="A3" s="45" t="inlineStr">
        <is>
          <t>本表直接以人民币元计价，无需再换算积分。C列为单个计费单位的默认基础金额；按E列确定实际累计基础金额，选择难度系数及适用主动倍率。G列仅展示默认单位金额，未乘主动倍率。</t>
        </is>
      </c>
      <c r="B3" s="43" t="n"/>
      <c r="C3" s="43" t="n"/>
      <c r="D3" s="43" t="n"/>
      <c r="E3" s="43" t="n"/>
      <c r="F3" s="43" t="n"/>
      <c r="G3" s="43" t="n"/>
      <c r="H3" s="43" t="n"/>
    </row>
    <row r="4">
      <c r="A4" s="45" t="inlineStr">
        <is>
          <t>各项目按自身计费单位结算：上架按执行组，图片按SKU，五点按套，A+按内容份数或绑定SKU，视频按视频及绑定批次。完整案例见“场景示例”；优化要求见“优化登记与复盘规则”。</t>
        </is>
      </c>
      <c r="B4" s="43" t="n"/>
      <c r="C4" s="43" t="n"/>
      <c r="D4" s="43" t="n"/>
      <c r="E4" s="43" t="n"/>
      <c r="F4" s="43" t="n"/>
      <c r="G4" s="43" t="n"/>
      <c r="H4" s="43" t="n"/>
    </row>
    <row r="5">
      <c r="A5" s="45" t="inlineStr">
        <is>
          <t>任务金额＝累计基础金额×难度系数×适用主动倍率，保留2位小数；每项任务只结算一次。月度任务绩效＝OA已验收任务金额＋Streamlit已验收主动任务金额＋当月核定成果奖励。同一任务跨两处记录须去重。成果奖按“改善成果奖励”页结算，不乘难度或主动倍率。 本人责任纠错不另计任务报酬、主动加成或成果奖励；以操作时确认资料和执行记录判定，详见“优化登记与复盘规则”责任纠错部分。</t>
        </is>
      </c>
      <c r="B5" s="43" t="n"/>
      <c r="C5" s="43" t="n"/>
      <c r="D5" s="43" t="n"/>
      <c r="E5" s="43" t="n"/>
      <c r="F5" s="43" t="n"/>
      <c r="G5" s="43" t="n"/>
      <c r="H5" s="43" t="n"/>
    </row>
    <row r="6">
      <c r="A6" s="45" t="inlineStr">
        <is>
          <t>上架执行组＝同一次安排、同一执行人、同一站点、能共用一张上架表的SKU集合。OA仍一条一个SKU，以组编号关联。难度按本次需处理关系的不同父体数判断；详见"场景示例"。跨站点上架按目标站点分别计算执行组（CA、MX、BR等各自独立）。</t>
        </is>
      </c>
      <c r="B6" s="43" t="n"/>
      <c r="C6" s="43" t="n"/>
      <c r="D6" s="43" t="n"/>
      <c r="E6" s="43" t="n"/>
      <c r="F6" s="43" t="n"/>
      <c r="G6" s="43" t="n"/>
      <c r="H6" s="43" t="n"/>
    </row>
    <row r="7" ht="44" customHeight="1" s="1">
      <c r="A7" s="8" t="inlineStr">
        <is>
          <t>一级模块</t>
        </is>
      </c>
      <c r="B7" s="8" t="inlineStr">
        <is>
          <t>工作项目</t>
        </is>
      </c>
      <c r="C7" s="8" t="inlineStr">
        <is>
          <t>基础金额（元）</t>
        </is>
      </c>
      <c r="D7" s="8" t="inlineStr">
        <is>
          <t>难度系数</t>
        </is>
      </c>
      <c r="E7" s="8" t="inlineStr">
        <is>
          <t>基础金额及计费单位</t>
        </is>
      </c>
      <c r="F7" s="8" t="inlineStr">
        <is>
          <t>难度系数等级</t>
        </is>
      </c>
      <c r="G7" s="8" t="inlineStr">
        <is>
          <t>默认示例金额（元）</t>
        </is>
      </c>
      <c r="H7" s="8" t="inlineStr">
        <is>
          <t>验收与防重复规则</t>
        </is>
      </c>
      <c r="I7" s="3" t="inlineStr">
        <is>
          <t>场景示例</t>
        </is>
      </c>
    </row>
    <row r="8" ht="330" customHeight="1" s="1">
      <c r="A8" s="9" t="inlineStr">
        <is>
          <t>新品上架</t>
        </is>
      </c>
      <c r="B8" s="9" t="inlineStr">
        <is>
          <t>Listing创建</t>
        </is>
      </c>
      <c r="C8" s="113" t="n">
        <v>25</v>
      </c>
      <c r="D8" s="82" t="n">
        <v>1</v>
      </c>
      <c r="E8" s="9" t="inlineStr">
        <is>
          <t>1个SKU：25元
2个及以上SKU，可共用一张上架表：40元
不能共用上架表：分别分组，每组按上述两档计费
同一表内不再按SKU数量递增金额</t>
        </is>
      </c>
      <c r="F8" s="9" t="inlineStr">
        <is>
          <t>1.0：本组不新增或调整任何父子关系
1.3：本组需处理父子关系，仅涉及1个父体（新建或已有均可）
1.6：本组需处理父子关系，涉及2个及以上不同父体
混合独立SKU和变体SKU时，只统计本次需处理关系的父体数</t>
        </is>
      </c>
      <c r="G8" s="115">
        <f>ROUND(C8*D8,2)</f>
        <v/>
      </c>
      <c r="H8" s="9" t="inlineStr">
        <is>
          <t>上架执行组：同次安排、同一执行人、同站点、可共用一张上架表。每条OA关联组编号。创建人、时间及序号只作候选线索；父体数量去重统计，同一父体多个子SKU只计1个父体。虚拟父体记录不计商品SKU。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I8" s="3" t="n"/>
    </row>
    <row r="9" ht="330" customHeight="1" s="1">
      <c r="A9" s="9" t="inlineStr">
        <is>
          <t>新品上架</t>
        </is>
      </c>
      <c r="B9" s="9" t="inlineStr">
        <is>
          <t>图片上传维护</t>
        </is>
      </c>
      <c r="C9" s="113" t="n">
        <v>10</v>
      </c>
      <c r="D9" s="82" t="n">
        <v>1</v>
      </c>
      <c r="E9" s="9" t="inlineStr">
        <is>
          <t>每个SKU：10元。
每个SKU上传自己的产品图片；不按批量降低金额。</t>
        </is>
      </c>
      <c r="F9" s="9" t="inlineStr">
        <is>
          <t>1.0：OA有完整可用图片；或独立样品备货与拍摄协调任务已交付图片。
1.3：OA缺图，需联系产品负责人获取、确认并跟进图片。
等待时间长短不增加系数。</t>
        </is>
      </c>
      <c r="G9" s="115">
        <f>ROUND(C9*D9,2)</f>
        <v/>
      </c>
      <c r="H9" s="9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I9" s="3" t="inlineStr">
        <is>
          <t>1个SKU有图：10元；5个SKU有图：50元。
5个SKU均需向负责人取图：65元。</t>
        </is>
      </c>
    </row>
    <row r="10" ht="330" customHeight="1" s="1">
      <c r="A10" s="9" t="inlineStr">
        <is>
          <t>产品素材准备</t>
        </is>
      </c>
      <c r="B10" s="9" t="inlineStr">
        <is>
          <t>样品备货与拍摄协调</t>
        </is>
      </c>
      <c r="C10" s="113" t="n">
        <v>25</v>
      </c>
      <c r="D10" s="82" t="n">
        <v>1</v>
      </c>
      <c r="E10" s="9" t="inlineStr">
        <is>
          <t>完成创建备货计划、到货跟进、交接美工拍照、核对并取得可用图片，计25元/完整任务。
各环节合并计费，不按阶段拆分。</t>
        </is>
      </c>
      <c r="F10" s="9" t="inlineStr">
        <is>
          <t>固定1.0；每个完整任务25元，不另加难度系数。</t>
        </is>
      </c>
      <c r="G10" s="115">
        <f>ROUND(C10*D10,2)</f>
        <v/>
      </c>
      <c r="H10" s="9" t="inlineStr">
        <is>
          <t>员工负责创建备货计划、跟进到货、交接美工拍摄及核对收图；系统审核、专人采购、美工拍摄。同一次安排覆盖多个SKU只计一次25元，不按SKU数量、催办次数或等待时长增加金额。核对并取得可用图片后验收；图片上传另按10元/SKU计费，实际采购、拍照、设计及修图不属于本项员工执行范围。</t>
        </is>
      </c>
      <c r="I10" s="3" t="inlineStr">
        <is>
          <t>1个SKU完整任务25元＋上传10元＝35元。
10个不同SKU共用完整任务25元＋上传100元＝125元。</t>
        </is>
      </c>
    </row>
    <row r="11" ht="330" customHeight="1" s="1">
      <c r="A11" s="9" t="inlineStr">
        <is>
          <t>新品上架</t>
        </is>
      </c>
      <c r="B11" s="9" t="inlineStr">
        <is>
          <t>A+制作发布</t>
        </is>
      </c>
      <c r="C11" s="113" t="n">
        <v>75</v>
      </c>
      <c r="D11" s="82" t="n">
        <v>1</v>
      </c>
      <c r="E11" s="9" t="inlineStr">
        <is>
          <t>加入已有A+：5元/SKU。
新建或完全重做A+：75元/独立内容。
共用同一份只计一次；不同内容按实际份数相加。</t>
        </is>
      </c>
      <c r="F11" s="9" t="inlineStr">
        <is>
          <t>固定1.0；按计费单位累计，不另加难度系数。</t>
        </is>
      </c>
      <c r="G11" s="115">
        <f>ROUND(C11*D11,2)</f>
        <v/>
      </c>
      <c r="H11" s="9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I11" s="3" t="inlineStr">
        <is>
          <t>5个SKU加入已有A+：25元；共用1份新A+：75元；分别制作5份：375元。</t>
        </is>
      </c>
    </row>
    <row r="12" ht="330" customHeight="1" s="1">
      <c r="A12" s="9" t="inlineStr">
        <is>
          <t>新品上架</t>
        </is>
      </c>
      <c r="B12" s="9" t="inlineStr">
        <is>
          <t>视频上传与信息维护</t>
        </is>
      </c>
      <c r="C12" s="113" t="n">
        <v>15</v>
      </c>
      <c r="D12" s="82" t="n">
        <v>1</v>
      </c>
      <c r="E12" s="9" t="inlineStr">
        <is>
          <t>修改标题等信息：5元/视频/轮。
上传或替换视频：15元/独立视频，含标题、首次ASIN绑定及核验。
已有视频添加ASIN：同视频同批次，1个SKU对应的ASIN计5元，2个及以上计10元；不同视频分别计算。</t>
        </is>
      </c>
      <c r="F12" s="9" t="inlineStr">
        <is>
          <t>固定1.0；按视频及操作类型计费。</t>
        </is>
      </c>
      <c r="G12" s="115">
        <f>ROUND(C12*D12,2)</f>
        <v/>
      </c>
      <c r="H12" s="9" t="inlineStr">
        <is>
          <t>同一视频同一轮，上传或替换已包含标题填写及首次ASIN绑定，不再叠加。已有视频同时修改标题并新增ASIN，可分别计标题修改与绑定金额。上传失败重试、重复上传同一文件、修复本人错误不新增金额。拍摄与剪辑不含在本项。</t>
        </is>
      </c>
      <c r="I12" s="3" t="inlineStr">
        <is>
          <t>改1个视频标题：5元。
共用1个新视频：15元。
5个ASIN加入同一已有视频：10元。
已有视频改标题并新增5个ASIN：15元。</t>
        </is>
      </c>
    </row>
    <row r="13" ht="330" customFormat="1" customHeight="1" s="41">
      <c r="A13" s="9" t="inlineStr">
        <is>
          <t>Listing内容维护</t>
        </is>
      </c>
      <c r="B13" s="9" t="inlineStr">
        <is>
          <t>Listing纠错</t>
        </is>
      </c>
      <c r="C13" s="113" t="n">
        <v>10</v>
      </c>
      <c r="D13" s="82" t="n">
        <v>1</v>
      </c>
      <c r="E13" s="9" t="inlineStr">
        <is>
          <t>每个独立错误点：10元。
同一错误在多个位置重复出现，合并为1个错误点。</t>
        </is>
      </c>
      <c r="F13" s="9" t="inlineStr">
        <is>
          <t>固定1.0；按计费单位累计，不另加难度系数。</t>
        </is>
      </c>
      <c r="G13" s="115">
        <f>ROUND(C13*D13,2)</f>
        <v/>
      </c>
      <c r="H13" s="9" t="inlineStr">
        <is>
          <t>每次必须检查标题、五点、描述、A+、主图及视频，缺少该模块标记“不适用”。发现的错误全部修正并核验后验收；检查包含在纠错金额中。修复自己造成的错误不新增金额。同一纠错成果不再计图片、A+或视频修改分。</t>
        </is>
      </c>
      <c r="I13" s="3" t="inlineStr">
        <is>
          <t>同一电压错误出现在标题、A+和视频：全部修正，共10元。
电压、尺寸、材质3个独立错误：30元。</t>
        </is>
      </c>
    </row>
    <row r="14" ht="420" customHeight="1" s="1">
      <c r="A14" s="9" t="inlineStr">
        <is>
          <t>Listing内容维护</t>
        </is>
      </c>
      <c r="B14" s="9" t="inlineStr">
        <is>
          <t>标题编写与优化</t>
        </is>
      </c>
      <c r="C14" s="113" t="n">
        <v>10</v>
      </c>
      <c r="D14" s="82" t="n">
        <v>1</v>
      </c>
      <c r="E14" s="9" t="inlineStr">
        <is>
          <t>每个Listing标题：10元。</t>
        </is>
      </c>
      <c r="F14" s="9" t="inlineStr">
        <is>
          <t>固定1.0；按计费单位累计，不另加难度系数。</t>
        </is>
      </c>
      <c r="G14" s="115">
        <f>ROUND(C14*D14,2)</f>
        <v/>
      </c>
      <c r="H14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
同系列首次文案共用时，按实际独立原创内容套数计费：统一文案仅替换确认后的尺寸、电压、颜色等参数，标题/五点/描述/关键词各计一套，共50元；参数替换、填表及核对包含在上架执行中。不按复制出的Listing数量重复领取原创费。不同功能或卖点确需独立研究并原创的内容，按实际独立交付计费；参数不同不能作为唯一依据。</t>
        </is>
      </c>
      <c r="I14" s="3" t="inlineStr">
        <is>
          <t>1个Listing标题有效重写并完成复盘：10元。</t>
        </is>
      </c>
    </row>
    <row r="15" ht="420" customHeight="1" s="1">
      <c r="A15" s="9" t="inlineStr">
        <is>
          <t>Listing内容维护</t>
        </is>
      </c>
      <c r="B15" s="9" t="inlineStr">
        <is>
          <t>五点编写与优化</t>
        </is>
      </c>
      <c r="C15" s="113" t="n">
        <v>15</v>
      </c>
      <c r="D15" s="82" t="n">
        <v>1</v>
      </c>
      <c r="E15" s="9" t="inlineStr">
        <is>
          <t>每个Listing的一套五点：15元。首次编写一套计15元；后续同轮改1点、几点或全部五点均计15元，不按条数累加。</t>
        </is>
      </c>
      <c r="F15" s="9" t="inlineStr">
        <is>
          <t>固定1.0；按计费单位累计，不另加难度系数。</t>
        </is>
      </c>
      <c r="G15" s="115">
        <f>ROUND(C15*D15,2)</f>
        <v/>
      </c>
      <c r="H15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
同系列首次文案共用时，按实际独立原创内容套数计费：统一文案仅替换确认后的尺寸、电压、颜色等参数，标题/五点/描述/关键词各计一套，共50元；参数替换、填表及核对包含在上架执行中。不按复制出的Listing数量重复领取原创费。不同功能或卖点确需独立研究并原创的内容，按实际独立交付计费；参数不同不能作为唯一依据。</t>
        </is>
      </c>
      <c r="I15" s="3" t="inlineStr">
        <is>
          <t>重写1点：15元；重写全部五点：仍为15元。</t>
        </is>
      </c>
    </row>
    <row r="16" ht="420" customHeight="1" s="1">
      <c r="A16" s="9" t="inlineStr">
        <is>
          <t>Listing内容维护</t>
        </is>
      </c>
      <c r="B16" s="9" t="inlineStr">
        <is>
          <t>描述编写与优化</t>
        </is>
      </c>
      <c r="C16" s="113" t="n">
        <v>15</v>
      </c>
      <c r="D16" s="82" t="n">
        <v>1</v>
      </c>
      <c r="E16" s="9" t="inlineStr">
        <is>
          <t>每个Listing的一份描述：15元。</t>
        </is>
      </c>
      <c r="F16" s="9" t="inlineStr">
        <is>
          <t>固定1.0；按计费单位累计，不另加难度系数。</t>
        </is>
      </c>
      <c r="G16" s="115">
        <f>ROUND(C16*D16,2)</f>
        <v/>
      </c>
      <c r="H16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
同系列首次文案共用时，按实际独立原创内容套数计费：统一文案仅替换确认后的尺寸、电压、颜色等参数，标题/五点/描述/关键词各计一套，共50元；参数替换、填表及核对包含在上架执行中。不按复制出的Listing数量重复领取原创费。不同功能或卖点确需独立研究并原创的内容，按实际独立交付计费；参数不同不能作为唯一依据。</t>
        </is>
      </c>
      <c r="I16" s="3" t="inlineStr">
        <is>
          <t>1份描述有效重写并完成复盘：15元。</t>
        </is>
      </c>
    </row>
    <row r="17" ht="420" customHeight="1" s="1">
      <c r="A17" s="9" t="inlineStr">
        <is>
          <t>Listing内容维护</t>
        </is>
      </c>
      <c r="B17" s="9" t="inlineStr">
        <is>
          <t>Generic Keywords编写与优化</t>
        </is>
      </c>
      <c r="C17" s="113" t="n">
        <v>10</v>
      </c>
      <c r="D17" s="82" t="n">
        <v>1</v>
      </c>
      <c r="E17" s="9" t="inlineStr">
        <is>
          <t>每个Listing的一套Generic Keywords：10元。</t>
        </is>
      </c>
      <c r="F17" s="9" t="inlineStr">
        <is>
          <t>固定1.0；按计费单位累计，不另加难度系数。</t>
        </is>
      </c>
      <c r="G17" s="115">
        <f>ROUND(C17*D17,2)</f>
        <v/>
      </c>
      <c r="H17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
同系列首次文案共用时，按实际独立原创内容套数计费：统一文案仅替换确认后的尺寸、电压、颜色等参数，标题/五点/描述/关键词各计一套，共50元；参数替换、填表及核对包含在上架执行中。不按复制出的Listing数量重复领取原创费。不同功能或卖点确需独立研究并原创的内容，按实际独立交付计费；参数不同不能作为唯一依据。</t>
        </is>
      </c>
      <c r="I17" s="3" t="inlineStr">
        <is>
          <t>重新整理1个Listing的搜索关键词：10元。</t>
        </is>
      </c>
    </row>
    <row r="18" ht="330" customHeight="1" s="1">
      <c r="A18" s="9" t="inlineStr">
        <is>
          <t>Listing内容维护</t>
        </is>
      </c>
      <c r="B18" s="9" t="inlineStr">
        <is>
          <t>全新制作或完全重做A+</t>
        </is>
      </c>
      <c r="C18" s="113" t="n">
        <v>75</v>
      </c>
      <c r="D18" s="82" t="n">
        <v>1</v>
      </c>
      <c r="E18" s="9" t="inlineStr">
        <is>
          <t>每份独立A+：75元。多个SKU共用同一份只计75元；不同内容按实际份数相加。</t>
        </is>
      </c>
      <c r="F18" s="9" t="inlineStr">
        <is>
          <t>固定1.0；按计费单位累计，不另加难度系数。</t>
        </is>
      </c>
      <c r="G18" s="115">
        <f>ROUND(C18*D18,2)</f>
        <v/>
      </c>
      <c r="H18" s="9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I18" s="3" t="inlineStr">
        <is>
          <t>5个SKU共用一份新A+：75元；分别重做5份：375元。</t>
        </is>
      </c>
    </row>
    <row r="19" ht="330" customHeight="1" s="1">
      <c r="A19" s="9" t="inlineStr">
        <is>
          <t>Listing内容维护</t>
        </is>
      </c>
      <c r="B19" s="9" t="inlineStr">
        <is>
          <t>A+内容增删修改</t>
        </is>
      </c>
      <c r="C19" s="113" t="n">
        <v>10</v>
      </c>
      <c r="D19" s="82" t="n">
        <v>1</v>
      </c>
      <c r="E19" s="9" t="inlineStr">
        <is>
          <t>同一份A+同一轮局部修改：10元。
不按模块数量累加；全新制作或完全重做按75元/份。</t>
        </is>
      </c>
      <c r="F19" s="9" t="inlineStr">
        <is>
          <t>固定1.0；按计费单位累计，不另加难度系数。</t>
        </is>
      </c>
      <c r="G19" s="115">
        <f>ROUND(C19*D19,2)</f>
        <v/>
      </c>
      <c r="H19" s="9" t="inlineStr">
        <is>
          <t>同一份A+同一轮内所有局部增加、删除或修改合计10元，不按模块数量累加；同一轮反复调整不重复计费。全新制作或完全重做按75元/份，不叠加局部修改金额。仅增加绑定SKU归A+制作发布，按5元/SKU。单纯事实纠错按Listing纠错计费。以优化为目的的修改执行优化登记与复盘规则。</t>
        </is>
      </c>
      <c r="I19" s="3" t="inlineStr">
        <is>
          <t>同一份A+本轮增加两项参数、删除过时信息、调整模块：合计10元。
无论修改几个模块，同一份同一轮合计10元。
全新制作或完全重做：按75元/份。</t>
        </is>
      </c>
    </row>
    <row r="20" ht="330" customHeight="1" s="1">
      <c r="A20" s="9" t="inlineStr">
        <is>
          <t>Listing内容维护</t>
        </is>
      </c>
      <c r="B20" s="9" t="inlineStr">
        <is>
          <t>变体关系维护</t>
        </is>
      </c>
      <c r="C20" s="113" t="n">
        <v>15</v>
      </c>
      <c r="D20" s="82" t="n">
        <v>1</v>
      </c>
      <c r="E20" s="9" t="inlineStr">
        <is>
          <t>15元：仅修改变体选项名称或属性值，不解除、重建父子关系。
25元：将已上架的独立SKU加入已有变体，不解除原有关系。
40元：独立商品组成新变体；或拆分、解除原关系后重新组合。</t>
        </is>
      </c>
      <c r="F20" s="9" t="inlineStr">
        <is>
          <t>1.0：原因和调整方案明确，直接执行并核验。
1.3：需要排查关系异常或属性冲突，确认原因后处理。
1.6：需要排查异常，且涉及两个及以上父体之间的拆分、迁移或重建。
基础金额与系数分别选择；系数只取适用最高档。</t>
        </is>
      </c>
      <c r="G20" s="115">
        <f>ROUND(C20*D20,2)</f>
        <v/>
      </c>
      <c r="H20" s="9" t="inlineStr">
        <is>
          <t>按同一次安排中的一个独立变体处理方案计费，包含核对、拆分、解绑、加入、重建及核验。基础金额只取适用最高档，不逐项累加。多个SKU共同组成同一变体算一个方案；互不相关的问题分别计费。跨多个父体完成同一次迁移或重组仍算一个方案。新品上架或其他异常处理已包含的相同工作不重复计费。</t>
        </is>
      </c>
      <c r="I20" s="3" t="inlineStr">
        <is>
          <t>只改选项名称：15元。
独立SKU加入已有变体：25元。
独立商品组合新变体：40元。
排查后解除并重建：52元。
排查并跨多个父体重组：64元。
详见“场景示例”末尾。</t>
        </is>
      </c>
    </row>
    <row r="21" ht="330" customHeight="1" s="1">
      <c r="A21" s="9" t="inlineStr">
        <is>
          <t>Listing内容维护</t>
        </is>
      </c>
      <c r="B21" s="9" t="inlineStr">
        <is>
          <t>图片维护</t>
        </is>
      </c>
      <c r="C21" s="113" t="n">
        <v>10</v>
      </c>
      <c r="D21" s="82" t="n">
        <v>1</v>
      </c>
      <c r="E21" s="9" t="inlineStr">
        <is>
          <t>每个SKU：10元。
每个SKU上传自己的产品图片；不按批量降低金额。</t>
        </is>
      </c>
      <c r="F21" s="9" t="inlineStr">
        <is>
          <t>1.0：OA有完整可用图片；或独立样品备货与拍摄协调任务已交付图片。
1.3：OA缺图，需联系产品负责人获取、确认并跟进图片。
等待时间长短不增加系数。</t>
        </is>
      </c>
      <c r="G21" s="115">
        <f>ROUND(C21*D21,2)</f>
        <v/>
      </c>
      <c r="H21" s="9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I21" s="3" t="inlineStr">
        <is>
          <t>5个SKU分别更新独立图片，有可用图片：50元。</t>
        </is>
      </c>
    </row>
    <row r="22" ht="330" customHeight="1" s="1">
      <c r="A22" s="9" t="inlineStr">
        <is>
          <t>价格管理</t>
        </is>
      </c>
      <c r="B22" s="9" t="inlineStr">
        <is>
          <t>价格调整</t>
        </is>
      </c>
      <c r="C22" s="113" t="n">
        <v>15</v>
      </c>
      <c r="D22" s="82" t="n">
        <v>1</v>
      </c>
      <c r="E22" s="9" t="inlineStr">
        <is>
          <t>同一次安排的批量改价任务：15元/批。
不按SKU数量、不同目标价格或OA记录数增加金额。</t>
        </is>
      </c>
      <c r="F22" s="9" t="inlineStr">
        <is>
          <t>固定1.0；负责人明确目标价格，员工执行并核验。</t>
        </is>
      </c>
      <c r="G22" s="115">
        <f>ROUND(C22*D22,2)</f>
        <v/>
      </c>
      <c r="H22" s="9" t="inlineStr">
        <is>
          <t>按负责人提供的SKU及目标价格完成调整，并核验实际生效价格。同一次安排中的多个SKU，即使目标价格不同，仍按一个批次计费。OA拆成多条记录、分文件上传、失败重试不增加批次。原价格维护及单纯改价异常合并为本项；Buy Box异常处理已包含的改价不重复计费。</t>
        </is>
      </c>
      <c r="I22" s="3" t="inlineStr">
        <is>
          <t>一次安排10个SKU分别涨到指定价格：15元。</t>
        </is>
      </c>
    </row>
    <row r="23" ht="330" customHeight="1" s="1">
      <c r="A23" s="9" t="inlineStr">
        <is>
          <t>价格管理</t>
        </is>
      </c>
      <c r="B23" s="9" t="inlineStr">
        <is>
          <t>Buy Box异常处理</t>
        </is>
      </c>
      <c r="C23" s="113" t="n">
        <v>15</v>
      </c>
      <c r="D23" s="82" t="n">
        <v>1</v>
      </c>
      <c r="E23" s="9" t="inlineStr">
        <is>
          <t>15元/ASIN（基础金额）。同一站点、同一ASIN、同一原因的连续异常只计一次；同一ASIN对应多个SKU不重复计费。不同ASIN分别计费，即使共用证据或同一个Case，也按实际处理并逐个验收的ASIN数量计算。</t>
        </is>
      </c>
      <c r="F23" s="9" t="inlineStr">
        <is>
          <t>固定1.0；按实际处理并验收的ASIN计费，不按SKU或Case数量提高系数。</t>
        </is>
      </c>
      <c r="G23" s="115">
        <f>ROUND(C23*D23,2)</f>
        <v/>
      </c>
      <c r="H23" s="9" t="inlineStr">
        <is>
          <t>包含售价及运费核查、截图取证、材料整理、开Case及后续跟进。按站点＋ASIN＋同一异常识别任务，不按SKU、Case、重试次数或处理时长增加金额；已含改价不另计费。每个ASIN须记录处理及核验结果。恢复后核验验收；未恢复时凭证齐全并经负责人确认阶段结案可结算。处理中暂不结算，阶段结案后同一异常恢复不重复计费。本人责任纠错不另计酬，主动任务按适用倍率结算。</t>
        </is>
      </c>
      <c r="I23" s="3" t="inlineStr">
        <is>
          <t>以下均为负责人安排、倍率1的示例：
同站点1个ASIN对应3个SKU：15元。
同站点3个ASIN共用1个Case且均验收：45元。
30个ASIN均验收：450元。
同一ASIN同一异常多次开Case：仍为15元。
未恢复但确认阶段结案可计费，仍处理中暂不结算。</t>
        </is>
      </c>
    </row>
    <row r="24" ht="330" customHeight="1" s="1">
      <c r="A24" s="9" t="inlineStr">
        <is>
          <t>价格管理</t>
        </is>
      </c>
      <c r="B24" s="9" t="inlineStr">
        <is>
          <t>主动价格优化（说明项，不独立计费）</t>
        </is>
      </c>
      <c r="C24" s="113" t="n">
        <v>0</v>
      </c>
      <c r="D24" s="82" t="n">
        <v>1</v>
      </c>
      <c r="E24" s="9" t="inlineStr">
        <is>
          <t>本行不独立计费。
员工自主发现价格异常并修正，使用"价格调整"基础金额15元×主动倍率1.5＝22.5元。</t>
        </is>
      </c>
      <c r="F24" s="9" t="inlineStr">
        <is>
          <t>不适用：本项不独立计任务金额
难度按关联主任务的等级选择</t>
        </is>
      </c>
      <c r="G24" s="115">
        <f>ROUND(C24*D24,2)</f>
        <v/>
      </c>
      <c r="H24" s="9" t="inlineStr">
        <is>
          <t>本行为说明项，不产生独立任务金额。员工自主发现价格异常并完成修正时，使用"价格调整"的基础金额15元×难度系数×主动倍率1.5结算，不另设独立计费项目。员工先提出建议、经负责人批准后执行，仍属主动。补建任务或认领变化不改变来源。</t>
        </is>
      </c>
      <c r="I24" s="3" t="n"/>
    </row>
    <row r="25" ht="330" customHeight="1" s="1">
      <c r="A25" s="9" t="inlineStr">
        <is>
          <t>促销管理</t>
        </is>
      </c>
      <c r="B25" s="9" t="inlineStr">
        <is>
          <t>Coupon与Promotion创建</t>
        </is>
      </c>
      <c r="C25" s="113" t="n">
        <v>15</v>
      </c>
      <c r="D25" s="82" t="n">
        <v>1</v>
      </c>
      <c r="E25" s="9" t="inlineStr">
        <is>
          <t>按已明确的优惠方案，实际创建并完成核验的每个独立Coupon或Promotion活动计15元。
同一活动包含多个SKU仍计15元；不同活动分别计费。</t>
        </is>
      </c>
      <c r="F25" s="9" t="inlineStr">
        <is>
          <t>固定1.0；负责人明确优惠方案，员工执行并核验。</t>
        </is>
      </c>
      <c r="G25" s="115">
        <f>ROUND(C25*D25,2)</f>
        <v/>
      </c>
      <c r="H25" s="9" t="inlineStr">
        <is>
          <t>按明确优惠方案创建活动并核验，15元/独立活动。不得人为拆分活动增加金额。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I25" s="3" t="inlineStr">
        <is>
          <t>创建1个活动、含20个SKU：15元。
创建5个独立活动：75元。
3个Coupon＋2个Promotion：75元。</t>
        </is>
      </c>
    </row>
    <row r="26" ht="330" customHeight="1" s="1">
      <c r="A26" s="9" t="inlineStr">
        <is>
          <t>促销管理</t>
        </is>
      </c>
      <c r="B26" s="9" t="inlineStr">
        <is>
          <t>Deal活动提报</t>
        </is>
      </c>
      <c r="C26" s="113" t="n">
        <v>10</v>
      </c>
      <c r="D26" s="82" t="n">
        <v>1</v>
      </c>
      <c r="E26" s="9" t="inlineStr">
        <is>
          <t>每个实际独立提报的Deal：10元。
不按包含的SKU数量增加；5个独立Deal计50元。</t>
        </is>
      </c>
      <c r="F26" s="9" t="inlineStr">
        <is>
          <t>固定1.0；按独立Deal数量计费。</t>
        </is>
      </c>
      <c r="G26" s="115">
        <f>ROUND(C26*D26,2)</f>
        <v/>
      </c>
      <c r="H26" s="9" t="inlineStr">
        <is>
          <t>完成Deal资料及参数核对、提报和提交结果核验后计费。平台是否批准另行记录，不以审批通过作为提报工作的唯一验收条件。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I26" s="3" t="inlineStr">
        <is>
          <t>提报1个Deal：10元。
提报5个独立Deal：50元。
同一Deal失败重试：不新增金额。</t>
        </is>
      </c>
    </row>
    <row r="27" ht="330" customHeight="1" s="1">
      <c r="A27" s="9" t="inlineStr">
        <is>
          <t>广告新建</t>
        </is>
      </c>
      <c r="B27" s="9" t="inlineStr">
        <is>
          <t>SP广告创建</t>
        </is>
      </c>
      <c r="C27" s="113" t="n">
        <v>15</v>
      </c>
      <c r="D27" s="82" t="n">
        <v>1</v>
      </c>
      <c r="E27" s="9" t="inlineStr">
        <is>
          <t>每创建1个独立SP Campaign计15元。
不区分广告组、商品、目标、素材或落地页数量。</t>
        </is>
      </c>
      <c r="F27" s="9" t="inlineStr">
        <is>
          <t>固定1.0；按实际独立Campaign数量计费。</t>
        </is>
      </c>
      <c r="G27" s="115">
        <f>ROUND(C27*D27,2)</f>
        <v/>
      </c>
      <c r="H27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新建Campaign必要的命名和归组包含在创建金额中，不单独计费。</t>
        </is>
      </c>
      <c r="I27" s="3" t="inlineStr">
        <is>
          <t>创建1个SP Campaign：15元。
创建3个独立SP Campaign：45元。
同一Campaign出现多条Ads Change：只计一次创建金额。</t>
        </is>
      </c>
    </row>
    <row r="28" ht="330" customHeight="1" s="1">
      <c r="A28" s="9" t="inlineStr">
        <is>
          <t>广告新建</t>
        </is>
      </c>
      <c r="B28" s="9" t="inlineStr">
        <is>
          <t>SB广告创建</t>
        </is>
      </c>
      <c r="C28" s="113" t="n">
        <v>20</v>
      </c>
      <c r="D28" s="82" t="n">
        <v>1</v>
      </c>
      <c r="E28" s="9" t="inlineStr">
        <is>
          <t>每创建1个独立SB Campaign计20元。
不区分广告组、商品、目标、素材或落地页数量。</t>
        </is>
      </c>
      <c r="F28" s="9" t="inlineStr">
        <is>
          <t>固定1.0；按实际独立Campaign数量计费。</t>
        </is>
      </c>
      <c r="G28" s="115">
        <f>ROUND(C28*D28,2)</f>
        <v/>
      </c>
      <c r="H28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SBV只按SBV项目计费，不再同时计SB创建金额。 新建Campaign必要的命名和归组包含在创建金额中，不单独计费。</t>
        </is>
      </c>
      <c r="I28" s="3" t="inlineStr">
        <is>
          <t>创建1个SB Campaign：20元。
创建3个独立SB Campaign：60元。
同一Campaign出现多条Ads Change：只计一次创建金额。</t>
        </is>
      </c>
    </row>
    <row r="29" ht="330" customHeight="1" s="1">
      <c r="A29" s="9" t="inlineStr">
        <is>
          <t>广告新建</t>
        </is>
      </c>
      <c r="B29" s="9" t="inlineStr">
        <is>
          <t>SBV广告创建</t>
        </is>
      </c>
      <c r="C29" s="113" t="n">
        <v>20</v>
      </c>
      <c r="D29" s="82" t="n">
        <v>1</v>
      </c>
      <c r="E29" s="9" t="inlineStr">
        <is>
          <t>每创建1个独立SBV Campaign计20元。
不区分广告组、商品、目标、素材或落地页数量。</t>
        </is>
      </c>
      <c r="F29" s="9" t="inlineStr">
        <is>
          <t>固定1.0；按实际独立Campaign数量计费。</t>
        </is>
      </c>
      <c r="G29" s="115">
        <f>ROUND(C29*D29,2)</f>
        <v/>
      </c>
      <c r="H29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SBV只按SBV项目计费，不再同时计SB创建金额。 新建Campaign必要的命名和归组包含在创建金额中，不单独计费。</t>
        </is>
      </c>
      <c r="I29" s="3" t="inlineStr">
        <is>
          <t>创建1个SBV Campaign：20元。
创建3个独立SBV Campaign：60元。
同一Campaign出现多条Ads Change：只计一次创建金额。</t>
        </is>
      </c>
    </row>
    <row r="30" ht="330" customHeight="1" s="1">
      <c r="A30" s="9" t="inlineStr">
        <is>
          <t>广告新建</t>
        </is>
      </c>
      <c r="B30" s="9" t="inlineStr">
        <is>
          <t>SD广告创建</t>
        </is>
      </c>
      <c r="C30" s="113" t="n">
        <v>20</v>
      </c>
      <c r="D30" s="82" t="n">
        <v>1</v>
      </c>
      <c r="E30" s="9" t="inlineStr">
        <is>
          <t>每创建1个独立SD Campaign计20元。
不区分广告组、商品、目标、素材或落地页数量。</t>
        </is>
      </c>
      <c r="F30" s="9" t="inlineStr">
        <is>
          <t>固定1.0；按实际独立Campaign数量计费。</t>
        </is>
      </c>
      <c r="G30" s="115">
        <f>ROUND(C30*D30,2)</f>
        <v/>
      </c>
      <c r="H30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新建Campaign必要的命名和归组包含在创建金额中，不单独计费。</t>
        </is>
      </c>
      <c r="I30" s="3" t="inlineStr">
        <is>
          <t>创建1个SD Campaign：20元。
创建3个独立SD Campaign：60元。
同一Campaign出现多条Ads Change：只计一次创建金额。</t>
        </is>
      </c>
    </row>
    <row r="31" ht="330" customHeight="1" s="1">
      <c r="A31" s="46" t="inlineStr">
        <is>
          <t>广告调整</t>
        </is>
      </c>
      <c r="B31" s="46" t="inlineStr">
        <is>
          <t>广告执行调整</t>
        </is>
      </c>
      <c r="C31" s="84" t="n">
        <v>10</v>
      </c>
      <c r="D31" s="85" t="n">
        <v>1</v>
      </c>
      <c r="E31" s="46" t="inlineStr">
        <is>
          <t>每个Campaign每次有效调整：10元。
每个自然周（周一至周日）每个Campaign最多计2次，即每个Campaign每周最高20元。
不同Campaign分别计费。</t>
        </is>
      </c>
      <c r="F31" s="46" t="inlineStr">
        <is>
          <t>固定1.0；按负责人明确指令或主动发起的有效调整执行并核验。</t>
        </is>
      </c>
      <c r="G31" s="86">
        <f>ROUND(C31*D31,2)</f>
        <v/>
      </c>
      <c r="H31" s="46" t="inlineStr">
        <is>
          <t>涵盖关键词与搜索词调整、否定投放调整、广告产品归组与补充、ASIN与商品投放调整、Bid与投放位置调整。同一次调整包含多种动作合计只算1次，可关联多条Ads Change。第二次计费须有第一次调整后的复查依据或新问题依据，并实际完成新的调整；拆分操作、重复提交、修复本人错误不另算。同一广告账户、同一站点、同一Campaign，每自然周最多计2次；负责人安排和员工主动执行合并统计，多人参与不增加次数。主动倍率×1。</t>
        </is>
      </c>
      <c r="I31" s="3" t="inlineStr">
        <is>
          <t>调整3个Campaign各1次有效调整：30元。
调整15个Campaign各1次有效调整：150元。
调整30个Campaign各1次有效调整：300元。
1个Campaign本周已调整2次：不再计费。</t>
        </is>
      </c>
    </row>
    <row r="32" ht="330" customHeight="1" s="1">
      <c r="A32" s="9" t="inlineStr">
        <is>
          <t>Listing与账号异常</t>
        </is>
      </c>
      <c r="B32" s="9" t="inlineStr">
        <is>
          <t>Listing异常申诉与Case处理</t>
        </is>
      </c>
      <c r="C32" s="113" t="n">
        <v>20</v>
      </c>
      <c r="D32" s="82" t="n">
        <v>1</v>
      </c>
      <c r="E32" s="9" t="inlineStr">
        <is>
          <t>每个ASIN的一项独立异常处理：20元。
处理5个ASIN计100元；不再采用ASIN数量分档。
同一ASIN同一异常只计一次。</t>
        </is>
      </c>
      <c r="F32" s="9" t="inlineStr">
        <is>
          <t>固定1.0；按ASIN及独立异常计费，不按Case数量或处理次数增加系数。</t>
        </is>
      </c>
      <c r="G32" s="115">
        <f>ROUND(C32*D32,2)</f>
        <v/>
      </c>
      <c r="H32" s="9" t="inlineStr">
        <is>
          <t>包含异常核查、材料整理、Appeal或Case提交、回复跟进及结果核验。同一ASIN同一异常的多次申诉、多个Case或补充材料合并计20元。合并在一个Case中的多个ASIN按个数计费，但须逐个记录处理结果。恢复后验收；未恢复时提交完整记录，经负责人确认阶段结案后计费，后续同一异常恢复不重复领取。已归Buy Box、滞留库存或变体关系维护的同一问题不叠加本项。负责人安排按正常金额；自主发起按正常金额×主动倍率计算。</t>
        </is>
      </c>
      <c r="I32" s="3" t="inlineStr">
        <is>
          <t>1个ASIN，多次Case处理同一异常：20元。
5个ASIN合并一个Case，逐个完成核验：100元。
已阶段结案计20元，之后恢复：不再增加金额。</t>
        </is>
      </c>
    </row>
    <row r="33" ht="330" customHeight="1" s="1">
      <c r="A33" s="9" t="inlineStr">
        <is>
          <t>Brand Store维护</t>
        </is>
      </c>
      <c r="B33" s="9" t="inlineStr">
        <is>
          <t>二级类目商品维护</t>
        </is>
      </c>
      <c r="C33" s="113" t="n">
        <v>10</v>
      </c>
      <c r="D33" s="82" t="n">
        <v>1</v>
      </c>
      <c r="E33" s="9" t="inlineStr">
        <is>
          <t>每个二级类目的一次商品更新：10元。
在原有模块内添加、删除或替换商品；不按SKU数量增加。</t>
        </is>
      </c>
      <c r="F33" s="9" t="inlineStr">
        <is>
          <t>固定1.0；按实际更新的二级类目数量计费。</t>
        </is>
      </c>
      <c r="G33" s="115">
        <f>ROUND(C33*D33,2)</f>
        <v/>
      </c>
      <c r="H33" s="9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I33" s="3" t="inlineStr">
        <is>
          <t>更新1/2英寸类目商品：10元。
同时更新1/2英寸和3/4英寸两个类目：20元。</t>
        </is>
      </c>
    </row>
    <row r="34" ht="330" customHeight="1" s="1">
      <c r="A34" s="9" t="inlineStr">
        <is>
          <t>Brand Store维护</t>
        </is>
      </c>
      <c r="B34" s="9" t="inlineStr">
        <is>
          <t>二级类目模块新增或重建</t>
        </is>
      </c>
      <c r="C34" s="113" t="n">
        <v>25</v>
      </c>
      <c r="D34" s="82" t="n">
        <v>1</v>
      </c>
      <c r="E34" s="9" t="inlineStr">
        <is>
          <t>每个二级类目的一次模块新增、替换或重建：25元。
包含必要布局、商品配置及核验；不按模块数量增加。</t>
        </is>
      </c>
      <c r="F34" s="9" t="inlineStr">
        <is>
          <t>固定1.0；按实际调整的二级类目数量计费。</t>
        </is>
      </c>
      <c r="G34" s="115">
        <f>ROUND(C34*D34,2)</f>
        <v/>
      </c>
      <c r="H34" s="9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I34" s="3" t="inlineStr">
        <is>
          <t>1/2英寸类目重建模块并配置商品：25元。
两个尺寸类目均需重建：50元。</t>
        </is>
      </c>
    </row>
    <row r="35" ht="330" customHeight="1" s="1">
      <c r="A35" s="9" t="inlineStr">
        <is>
          <t>Brand Store维护</t>
        </is>
      </c>
      <c r="B35" s="9" t="inlineStr">
        <is>
          <t>提交阻断问题处理</t>
        </is>
      </c>
      <c r="C35" s="113" t="n">
        <v>15</v>
      </c>
      <c r="D35" s="82" t="n">
        <v>1</v>
      </c>
      <c r="E35" s="9" t="inlineStr">
        <is>
          <t>每次独立提交任务：15元。
仅限本次更新范围外其他板块的原有报错。</t>
        </is>
      </c>
      <c r="F35" s="9" t="inlineStr">
        <is>
          <t>固定1.0；同次提交多个报错合并计费。</t>
        </is>
      </c>
      <c r="G35" s="115">
        <f>ROUND(C35*D35,2)</f>
        <v/>
      </c>
      <c r="H35" s="9" t="inlineStr">
        <is>
          <t>仅处理本次更新范围之外、其他板块原有报错导致无法提交的问题。须保留报错截图、修复位置和提交成功记录。同一独立提交任务出现多个报错、反复尝试或涉及多个类目，只计一次15元，不按报错或类目数累加。本人本次更新造成的错误属于返工，不计本项。由同一人或不同人处理均按实际工作归属，不能重复领取。</t>
        </is>
      </c>
      <c r="I35" s="3" t="inlineStr">
        <is>
          <t>两个尺寸类目商品更新20元＋修复其他板块历史报错15元＝35元。
若报错由本人本次操作导致，仍只计20元。</t>
        </is>
      </c>
    </row>
    <row r="36" ht="330" customHeight="1" s="1">
      <c r="A36" s="9" t="inlineStr">
        <is>
          <t>Review、Feedback与客户声音</t>
        </is>
      </c>
      <c r="B36" s="9" t="inlineStr">
        <is>
          <t>VOC数据更新与AI分析</t>
        </is>
      </c>
      <c r="C36" s="113" t="n">
        <v>10</v>
      </c>
      <c r="D36" s="82" t="n">
        <v>1</v>
      </c>
      <c r="E36" s="9" t="inlineStr">
        <is>
          <t>每周完成一次数据下载、数据库更新、AI分析及基本核验，计10元；不按数据条数分档。</t>
        </is>
      </c>
      <c r="F36" s="9" t="inlineStr">
        <is>
          <t>固定1.0；按每周完整任务计费。</t>
        </is>
      </c>
      <c r="G36" s="115">
        <f>ROUND(C36*D36,2)</f>
        <v/>
      </c>
      <c r="H36" s="9" t="inlineStr">
        <is>
          <t>下载本周所需数据并记录期间；保存到数据库，核对导入成功、无明显遗漏或重复；运行AI分析，保存结果并检查是否正常生成及有无明显错误。同一周任务中的多次下载、分文件导入、AI重跑和失败重试合并计费。AI分析不等于员工独立业务分析；后续核实问题、形成建议或推动处理，按独立交付及发起来源另行认定，相同工作不重复计费。</t>
        </is>
      </c>
      <c r="I36" s="3" t="inlineStr">
        <is>
          <t>完成本周下载、入库、AI分析及核验：10元。
同周分多个文件导入或重跑AI：仍计10元。</t>
        </is>
      </c>
    </row>
    <row r="37" ht="330" customHeight="1" s="1">
      <c r="A37" s="9" t="inlineStr">
        <is>
          <t>Review、Feedback与客户声音</t>
        </is>
      </c>
      <c r="B37" s="9" t="inlineStr">
        <is>
          <t>Listing问题处理</t>
        </is>
      </c>
      <c r="C37" s="113" t="n">
        <v>0</v>
      </c>
      <c r="D37" s="82" t="n">
        <v>1</v>
      </c>
      <c r="E37" s="9" t="inlineStr">
        <is>
          <t>关联入口：0元
按Listing纠错、优化或素材主任务计费
相同修改不再重复获得任务金额</t>
        </is>
      </c>
      <c r="F37" s="9" t="inlineStr">
        <is>
          <t>不适用：本项不独立计任务金额
难度按关联主任务的等级选择</t>
        </is>
      </c>
      <c r="G37" s="115">
        <f>ROUND(C37*D37,2)</f>
        <v/>
      </c>
      <c r="H37" s="9" t="inlineStr">
        <is>
          <t>VOC只是问题来源，不决定计费路径。负责人安排的修改按对应主任务计费；员工自主发现并发起的改善仅计主动金额，同一交付不叠加。</t>
        </is>
      </c>
      <c r="I37" s="3" t="n"/>
    </row>
    <row r="38" ht="330" customHeight="1" s="1">
      <c r="A38" s="9" t="inlineStr">
        <is>
          <t>Review、Feedback与客户声音</t>
        </is>
      </c>
      <c r="B38" s="9" t="inlineStr">
        <is>
          <t>产品质量问题反馈</t>
        </is>
      </c>
      <c r="C38" s="113" t="n">
        <v>10</v>
      </c>
      <c r="D38" s="82" t="n">
        <v>1</v>
      </c>
      <c r="E38" s="9" t="inlineStr">
        <is>
          <t>1类产品共性问题：
1个产品：10元
同因2—5个产品：15元
同因6—20个产品：25元
含证据、转交及1个反馈节点</t>
        </is>
      </c>
      <c r="F38" s="9" t="inlineStr">
        <is>
          <t>1.0：按标准范围和既定方案完成
1.3：证据存在差异，需补充分类或核实范围。
1.6：跨产品证据相互矛盾，需系统梳理及协调验证结论。</t>
        </is>
      </c>
      <c r="G38" s="115">
        <f>ROUND(C38*D38,2)</f>
        <v/>
      </c>
      <c r="H38" s="9" t="inlineStr">
        <is>
          <t>与售后同类反馈合并为同一问题单；产品开发执行另计开发任务。</t>
        </is>
      </c>
      <c r="I38" s="3" t="n"/>
    </row>
    <row r="39" ht="330" customHeight="1" s="1">
      <c r="A39" s="9" t="inlineStr">
        <is>
          <t>库存与配送</t>
        </is>
      </c>
      <c r="B39" s="9" t="inlineStr">
        <is>
          <t>FBA货件问题处理</t>
        </is>
      </c>
      <c r="C39" s="113" t="n">
        <v>5</v>
      </c>
      <c r="D39" s="82" t="n">
        <v>1</v>
      </c>
      <c r="E39" s="9" t="inlineStr">
        <is>
          <t>每个货件问题计5元。</t>
        </is>
      </c>
      <c r="F39" s="9" t="inlineStr">
        <is>
          <t>固定1.0。</t>
        </is>
      </c>
      <c r="G39" s="115">
        <f>ROUND(C39*D39,2)</f>
        <v/>
      </c>
      <c r="H39" s="9" t="inlineStr">
        <is>
          <t>查看问题并核对情况，按实际情况接受，或选择不接受并提交Appeal，完成处理记录。同一货件、同一问题后续查看、重复提交及跟进不重复计费。不以Appeal成功为计费条件，须完成必要操作并核验提交状态。</t>
        </is>
      </c>
      <c r="I39" s="3" t="inlineStr">
        <is>
          <t>处理3个货件，每个货件各1个问题：15元。</t>
        </is>
      </c>
    </row>
    <row r="40" ht="330" customHeight="1" s="1">
      <c r="A40" s="9" t="inlineStr">
        <is>
          <t>库存与配送</t>
        </is>
      </c>
      <c r="B40" s="9" t="inlineStr">
        <is>
          <t>库存冗余折扣上传</t>
        </is>
      </c>
      <c r="C40" s="113" t="n">
        <v>10</v>
      </c>
      <c r="D40" s="82" t="n">
        <v>1</v>
      </c>
      <c r="E40" s="9" t="inlineStr">
        <is>
          <t>同一次安排的一批上传任务计10元，不按SKU数量增加。</t>
        </is>
      </c>
      <c r="F40" s="9" t="inlineStr">
        <is>
          <t>固定1.0；程序提供SKU及折扣方案，员工上传并核验。</t>
        </is>
      </c>
      <c r="G40" s="115">
        <f>ROUND(C40*D40,2)</f>
        <v/>
      </c>
      <c r="H40" s="9" t="inlineStr">
        <is>
          <t>包含上传、检查处理结果及修正上传报错。同一批拆成多个文件、重复上传或重试不重复计费。不要求员工分析冗余原因或制定折扣方案，不以库存最终售出作为完成条件。与价格调整或促销创建属于同一次交付的，只结算一次。</t>
        </is>
      </c>
      <c r="I40" s="3" t="inlineStr">
        <is>
          <t>程序生成50个SKU及折扣，完成上传并确认生效：10元。</t>
        </is>
      </c>
    </row>
    <row r="41" ht="330" customHeight="1" s="1">
      <c r="A41" s="9" t="inlineStr">
        <is>
          <t>库存管理</t>
        </is>
      </c>
      <c r="B41" s="9" t="inlineStr">
        <is>
          <t>滞留库存—移除库存</t>
        </is>
      </c>
      <c r="C41" s="113" t="n">
        <v>10</v>
      </c>
      <c r="D41" s="82" t="n">
        <v>1</v>
      </c>
      <c r="E41" s="9" t="inlineStr">
        <is>
          <t>每批10元，不按SKU数量增加。</t>
        </is>
      </c>
      <c r="F41" s="9" t="inlineStr">
        <is>
          <t>固定1.0。</t>
        </is>
      </c>
      <c r="G41" s="115">
        <f>ROUND(C41*D41,2)</f>
        <v/>
      </c>
      <c r="H41" s="9" t="inlineStr">
        <is>
          <t>成功创建移除订单，核对SKU、数量及处理方式，保存订单编号。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1" s="3" t="inlineStr">
        <is>
          <t>同批移除多个SKU：10元。</t>
        </is>
      </c>
    </row>
    <row r="42" ht="330" customHeight="1" s="1">
      <c r="A42" s="9" t="inlineStr">
        <is>
          <t>库存管理</t>
        </is>
      </c>
      <c r="B42" s="9" t="inlineStr">
        <is>
          <t>滞留库存—Relist重新发布</t>
        </is>
      </c>
      <c r="C42" s="113" t="n">
        <v>10</v>
      </c>
      <c r="D42" s="82" t="n">
        <v>1</v>
      </c>
      <c r="E42" s="9" t="inlineStr">
        <is>
          <t>每批10元，不按SKU数量增加。</t>
        </is>
      </c>
      <c r="F42" s="9" t="inlineStr">
        <is>
          <t>固定1.0。</t>
        </is>
      </c>
      <c r="G42" s="115">
        <f>ROUND(C42*D42,2)</f>
        <v/>
      </c>
      <c r="H42" s="9" t="inlineStr">
        <is>
          <t>完成重新发布，核验发布结果及滞留状态，保留处理记录。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2" s="3" t="inlineStr">
        <is>
          <t>同批Relist多个SKU：10元。</t>
        </is>
      </c>
    </row>
    <row r="43" ht="330" customHeight="1" s="1">
      <c r="A43" s="9" t="inlineStr">
        <is>
          <t>库存管理</t>
        </is>
      </c>
      <c r="B43" s="9" t="inlineStr">
        <is>
          <t>滞留库存—申诉或Case处理</t>
        </is>
      </c>
      <c r="C43" s="113" t="n">
        <v>15</v>
      </c>
      <c r="D43" s="82" t="n">
        <v>1</v>
      </c>
      <c r="E43" s="9" t="inlineStr">
        <is>
          <t>每个独立问题15元，不按Case或提交次数增加。</t>
        </is>
      </c>
      <c r="F43" s="9" t="inlineStr">
        <is>
          <t>固定1.0。</t>
        </is>
      </c>
      <c r="G43" s="115">
        <f>ROUND(C43*D43,2)</f>
        <v/>
      </c>
      <c r="H43" s="9" t="inlineStr">
        <is>
          <t>核对原因、提交申诉或Case并跟进；问题解决，或材料及处理记录完整、由负责人确认阶段结案。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3" s="3" t="inlineStr">
        <is>
          <t>同一问题先Relist再申诉：合计15元。</t>
        </is>
      </c>
    </row>
    <row r="44" ht="330" customHeight="1" s="1">
      <c r="A44" s="9" t="inlineStr">
        <is>
          <t>库存管理</t>
        </is>
      </c>
      <c r="B44" s="9" t="inlineStr">
        <is>
          <t>滞留库存—已有电池／化学品资料提交</t>
        </is>
      </c>
      <c r="C44" s="113" t="n">
        <v>10</v>
      </c>
      <c r="D44" s="82" t="n">
        <v>1</v>
      </c>
      <c r="E44" s="9" t="inlineStr">
        <is>
          <t>使用已有完整资料完成一批提交，计10元。</t>
        </is>
      </c>
      <c r="F44" s="9" t="inlineStr">
        <is>
          <t>固定1.0。</t>
        </is>
      </c>
      <c r="G44" s="115">
        <f>ROUND(C44*D44,2)</f>
        <v/>
      </c>
      <c r="H44" s="9" t="inlineStr">
        <is>
          <t>核对资料与SKU的对应关系，提交并跟进审核结果，保存资料版本及处理记录。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4" s="3" t="inlineStr">
        <is>
          <t>已有完整资料完成一批提交：10元。</t>
        </is>
      </c>
    </row>
    <row r="45" ht="330" customHeight="1" s="1">
      <c r="A45" s="9" t="inlineStr">
        <is>
          <t>库存管理</t>
        </is>
      </c>
      <c r="B45" s="9" t="inlineStr">
        <is>
          <t>滞留库存—电池／化学品资料协调与提交</t>
        </is>
      </c>
      <c r="C45" s="113" t="n">
        <v>10</v>
      </c>
      <c r="D45" s="82" t="n">
        <v>1</v>
      </c>
      <c r="E45" s="9" t="inlineStr">
        <is>
          <t>需协调获取资料、核对并完成一批提交，计10元。</t>
        </is>
      </c>
      <c r="F45" s="9" t="inlineStr">
        <is>
          <t>固定1.0。</t>
        </is>
      </c>
      <c r="G45" s="115">
        <f>ROUND(C45*D45,2)</f>
        <v/>
      </c>
      <c r="H45" s="9" t="inlineStr">
        <is>
          <t>协调取得可用资料，核对SKU对应关系，完成提交并跟进审核结果；已包含资料提交，不另增加金额。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5" s="3" t="inlineStr">
        <is>
          <t>协调取得资料并提交：合计10元。</t>
        </is>
      </c>
    </row>
    <row r="46" ht="330" customHeight="1" s="1">
      <c r="A46" s="9" t="inlineStr">
        <is>
          <t>数据与报表</t>
        </is>
      </c>
      <c r="B46" s="9" t="inlineStr">
        <is>
          <t>Category Report下载</t>
        </is>
      </c>
      <c r="C46" s="113" t="n">
        <v>5</v>
      </c>
      <c r="D46" s="82" t="n">
        <v>1</v>
      </c>
      <c r="E46" s="9" t="inlineStr">
        <is>
          <t>按要求每天下载、归档并核验，每周合并结算。
金额＝5元×合格完成天数÷当周应完成天数。
当周无任务则不计费。</t>
        </is>
      </c>
      <c r="F46" s="9" t="inlineStr">
        <is>
          <t>固定1.0；按每天完成，每周结算。</t>
        </is>
      </c>
      <c r="G46" s="115">
        <f>ROUND(C46*D46,2)</f>
        <v/>
      </c>
      <c r="H46" s="9" t="inlineStr">
        <is>
          <t>固定例行工作，主动倍率×1。每天按要求下载、归档并核验Category Report。每周合并结算：金额＝5元×合格完成天数÷当周应完成天数。因假期、系统故障等不可控原因未下载的天数不计入应完成天数。当周无任务则不计费。同一天多次下载合并计费。</t>
        </is>
      </c>
      <c r="I46" s="3" t="inlineStr">
        <is>
          <t>应完成5天，完成5天：5元／周；完成4天：4元／周。当周无任务：0元。</t>
        </is>
      </c>
    </row>
    <row r="47" ht="330" customHeight="1" s="1">
      <c r="A47" s="9" t="inlineStr">
        <is>
          <t>数据与报表</t>
        </is>
      </c>
      <c r="B47" s="9" t="inlineStr">
        <is>
          <t>关键词市场占有率统计及竞品检查</t>
        </is>
      </c>
      <c r="C47" s="113" t="n">
        <v>10</v>
      </c>
      <c r="D47" s="82" t="n">
        <v>1</v>
      </c>
      <c r="E47" s="9" t="inlineStr">
        <is>
          <t>每个关键词每月完成一次统计及竞品检查：10元/关键词/月。</t>
        </is>
      </c>
      <c r="F47" s="9" t="inlineStr">
        <is>
          <t>固定1.0；按关键词数量及月度任务计费。</t>
        </is>
      </c>
      <c r="G47" s="115">
        <f>ROUND(C47*D47,2)</f>
        <v/>
      </c>
      <c r="H47" s="9" t="inlineStr">
        <is>
          <t>固定例行工作，主动倍率×1。完成统计数据整理及竞品对比后验收。同一关键词同月不重复计费。</t>
        </is>
      </c>
      <c r="I47" s="3" t="n"/>
    </row>
    <row r="48" ht="330" customHeight="1" s="1">
      <c r="A48" s="9" t="inlineStr">
        <is>
          <t>跨站点执行</t>
        </is>
      </c>
      <c r="B48" s="9" t="inlineStr">
        <is>
          <t>跨站点Listing创建</t>
        </is>
      </c>
      <c r="C48" s="113" t="n">
        <v>25</v>
      </c>
      <c r="D48" s="82" t="n">
        <v>1</v>
      </c>
      <c r="E48" s="9" t="inlineStr">
        <is>
          <t>按目标站点分别计算上架执行组，与美国站相同规则：
1个SKU：25元；2个及以上可共用上架表：40元。
CA、MX、BR等各站点分别制作上架表并完成发布，按各自站点独立计费。</t>
        </is>
      </c>
      <c r="F48" s="9" t="inlineStr">
        <is>
          <t>1.0：本组不新增或调整任何父子关系
1.3：本组需处理父子关系，仅涉及1个父体
1.6：本组需处理父子关系，涉及2个及以上不同父体</t>
        </is>
      </c>
      <c r="G48" s="115">
        <f>ROUND(C48*D48,2)</f>
        <v/>
      </c>
      <c r="H48" s="9" t="inlineStr">
        <is>
          <t>与美国站上架执行组规则一致，按目标站点独立分组。不同站点的上架表不共用，因此分别计费。同一SKU在多个站点上架，按各站点分别计算。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I48" s="3" t="n"/>
    </row>
    <row r="49" ht="330" customHeight="1" s="1">
      <c r="A49" s="9" t="inlineStr">
        <is>
          <t>跨站点执行</t>
        </is>
      </c>
      <c r="B49" s="9" t="inlineStr">
        <is>
          <t>A+翻译后发布（非新策划）</t>
        </is>
      </c>
      <c r="C49" s="113" t="n">
        <v>10</v>
      </c>
      <c r="D49" s="82" t="n">
        <v>1</v>
      </c>
      <c r="E49" s="9" t="inlineStr">
        <is>
          <t>将已有A+翻译后发布到其他站点：10元/批。
同一次安排、同一份A+内容发布到多个站点，按批计费，不按站点数量累加。</t>
        </is>
      </c>
      <c r="F49" s="9" t="inlineStr">
        <is>
          <t>固定1.0；已有内容的翻译与发布。</t>
        </is>
      </c>
      <c r="G49" s="115">
        <f>ROUND(C49*D49,2)</f>
        <v/>
      </c>
      <c r="H49" s="9" t="inlineStr">
        <is>
          <t>仅限将美国站等已有A+翻译后发布，不涉及内容策划或重新设计。全新策划制作的A+按75元/份计费（A+制作发布），不按本项。翻译＋发布合并计费，不拆分翻译和发布分别领取。主动倍率按"固定例行工作"×1。</t>
        </is>
      </c>
      <c r="I49" s="3" t="n"/>
    </row>
    <row r="50" ht="330" customHeight="1" s="1">
      <c r="A50" s="46" t="inlineStr">
        <is>
          <t>跨站点执行</t>
        </is>
      </c>
      <c r="B50" s="46" t="inlineStr">
        <is>
          <t>翻译后批量更新Listing文案</t>
        </is>
      </c>
      <c r="C50" s="113" t="n">
        <v>10</v>
      </c>
      <c r="D50" s="82" t="n">
        <v>1</v>
      </c>
      <c r="E50" s="46" t="inlineStr">
        <is>
          <t>已提供文案，翻译后批量更新标题、五点、描述等：10元/批。
按同一次安排的一批任务计费，不按SKU数量增加。</t>
        </is>
      </c>
      <c r="F50" s="46" t="inlineStr">
        <is>
          <t>固定1.0；按批次计费。</t>
        </is>
      </c>
      <c r="G50" s="115">
        <f>ROUND(C50*D50,2)</f>
        <v/>
      </c>
      <c r="H50" s="46" t="inlineStr">
        <is>
          <t>与独立重写标题/五点/描述区分：本项为已有文案的翻译更新，非自主分析优化。独立重写按各自工作项目计费（标题10元、五点15元、描述15元等）。同一批翻译更新拆文件、重复上传不增加批次。主动倍率按"固定例行工作"×1。</t>
        </is>
      </c>
      <c r="I50" s="3" t="n"/>
    </row>
    <row r="51" ht="440" customHeight="1" s="1">
      <c r="A51" s="46" t="inlineStr">
        <is>
          <t>新品开发</t>
        </is>
      </c>
      <c r="B51" s="46" t="inlineStr">
        <is>
          <t>市场调研与产品建议</t>
        </is>
      </c>
      <c r="C51" s="113" t="n">
        <v>75</v>
      </c>
      <c r="D51" s="82" t="n">
        <v>1</v>
      </c>
      <c r="E51" s="46" t="inlineStr">
        <is>
          <t>75元/独立开发项目的本阶段交付；同系列共用调研或厂家方案只计一次，不按SKU数累加。</t>
        </is>
      </c>
      <c r="F51" s="46" t="inlineStr">
        <is>
          <t>固定1.0；按独立阶段交付计费。</t>
        </is>
      </c>
      <c r="G51" s="115">
        <f>ROUND(C51*D51,2)</f>
        <v/>
      </c>
      <c r="H51" s="46" t="inlineStr">
        <is>
          <t>分析竞品、需求、价格区间、关键规格、客户反馈及初步利润空间，提出产品建议和风险判断。数据注明来源、期间及估算口径。
调研完整且结论有依据，经负责人确认。无需凑固定竞品数量；结论为不建议开发时，已完成且通过验收的调研照常计费。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开发计酬：同一产品用途、核心设计和供应方案，仅尺寸、电压、颜色等参数不同且可共用交付的SKU，按一个系列开发项目登记，共用阶段只计一次，不按SKU数量乘开发总金额。参数变化本身不等于工作相同，涉及不同安全要求、功能、结构或性能验证时，应记录实际差异并事先确认独立工作范围。新SKU、新OA编号或跨月不自动构成新项目。详见“系列开发计酬”。</t>
        </is>
      </c>
      <c r="I51" s="3" t="inlineStr">
        <is>
          <t>完整调研后确认不开发：仍计75元；后续未执行阶段不计。</t>
        </is>
      </c>
    </row>
    <row r="52" ht="440" customHeight="1" s="1">
      <c r="A52" s="46" t="inlineStr">
        <is>
          <t>新品开发</t>
        </is>
      </c>
      <c r="B52" s="46" t="inlineStr">
        <is>
          <t>厂家筛选、报价与合作条件确认</t>
        </is>
      </c>
      <c r="C52" s="113" t="n">
        <v>75</v>
      </c>
      <c r="D52" s="82" t="n">
        <v>1</v>
      </c>
      <c r="E52" s="46" t="inlineStr">
        <is>
          <t>75元/独立开发项目的本阶段交付；同系列共用调研或厂家方案只计一次，不按SKU数累加。</t>
        </is>
      </c>
      <c r="F52" s="46" t="inlineStr">
        <is>
          <t>固定1.0；按独立阶段交付计费。</t>
        </is>
      </c>
      <c r="G52" s="115">
        <f>ROUND(C52*D52,2)</f>
        <v/>
      </c>
      <c r="H52" s="46" t="inlineStr">
        <is>
          <t>寻找并核实匹配的厂家，比较有效报价、MOQ、交期、包装及定制条件，确认关键费用、供货能力和合作限制，提出选择建议。
关键合作条件清楚且有记录，经负责人确认。按完整找厂与条件确认交付计费，不按联系次数或报价份数计；无合适厂家时须提供完整调查结论并经负责人确认结案。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开发计酬：同一产品用途、核心设计和供应方案，仅尺寸、电压、颜色等参数不同且可共用交付的SKU，按一个系列开发项目登记，共用阶段只计一次，不按SKU数量乘开发总金额。参数变化本身不等于工作相同，涉及不同安全要求、功能、结构或性能验证时，应记录实际差异并事先确认独立工作范围。新SKU、新OA编号或跨月不自动构成新项目。详见“系列开发计酬”。</t>
        </is>
      </c>
      <c r="I52" s="3" t="inlineStr">
        <is>
          <t>一个项目联系多家厂家并确认合作条件：合计75元。</t>
        </is>
      </c>
    </row>
    <row r="53" ht="440" customHeight="1" s="1">
      <c r="A53" s="46" t="inlineStr">
        <is>
          <t>新品开发</t>
        </is>
      </c>
      <c r="B53" s="46" t="inlineStr">
        <is>
          <t>样品评估及问题跟进</t>
        </is>
      </c>
      <c r="C53" s="113" t="n">
        <v>75</v>
      </c>
      <c r="D53" s="82" t="n">
        <v>1</v>
      </c>
      <c r="E53" s="46" t="inlineStr">
        <is>
          <t>75元/事先约定的独立样品验证任务；同一验证方案内的不同参数检查、原问题整改及复测合并。不因样品或SKU数量增加而自动增加任务数。</t>
        </is>
      </c>
      <c r="F53" s="46" t="inlineStr">
        <is>
          <t>固定1.0；按独立阶段交付计费。</t>
        </is>
      </c>
      <c r="G53" s="115">
        <f>ROUND(C53*D53,2)</f>
        <v/>
      </c>
      <c r="H53" s="46" t="inlineStr">
        <is>
          <t>按事先确认的验证要求完成样品检查或协调测试，记录问题、跟进整改及复测，形成通过、修改或停止结论。
形成可供决策的验证结论并经负责人验收；继续修改中不自动结案。同一轮原问题补测、整改、催办合并计费；新增独立验证范围须事先确认，不按每次样品到货计75元。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开发计酬：同一产品用途、核心设计和供应方案，仅尺寸、电压、颜色等参数不同且可共用交付的SKU，按一个系列开发项目登记，共用阶段只计一次，不按SKU数量乘开发总金额。参数变化本身不等于工作相同，涉及不同安全要求、功能、结构或性能验证时，应记录实际差异并事先确认独立工作范围。新SKU、新OA编号或跨月不自动构成新项目。详见“系列开发计酬”。</t>
        </is>
      </c>
      <c r="I53" s="3" t="inlineStr">
        <is>
          <t>同一轮检查、整改和原问题复测：合计75元，不逐次累加。</t>
        </is>
      </c>
    </row>
    <row r="54" ht="440" customHeight="1" s="1">
      <c r="A54" s="46" t="inlineStr">
        <is>
          <t>新品开发与内容准备</t>
        </is>
      </c>
      <c r="B54" s="46" t="inlineStr">
        <is>
          <t>产品资料整理与确认</t>
        </is>
      </c>
      <c r="C54" s="113" t="n">
        <v>40</v>
      </c>
      <c r="D54" s="82" t="n">
        <v>1</v>
      </c>
      <c r="E54" s="46" t="inlineStr">
        <is>
          <t>40元／独立产品资料套。</t>
        </is>
      </c>
      <c r="F54" s="46" t="inlineStr">
        <is>
          <t>固定1.0；按实际独立交付计费。</t>
        </is>
      </c>
      <c r="G54" s="115">
        <f>ROUND(C54*D54,2)</f>
        <v/>
      </c>
      <c r="H54" s="46" t="inlineStr">
        <is>
          <t>主动核实产品规格、功能、使用方式、限制、卖点依据及包装内容，向厂家解决缺失或矛盾信息，形成经确认的可用事实资料。已有完整资料仅汇总、复制或直接使用不计本项。调研、找厂、样品任务已交付的相同资料不再计40元；只有额外核实、补全且独立验收的资料工作才计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开发计酬：同一产品用途、核心设计和供应方案，仅尺寸、电压、颜色等参数不同且可共用交付的SKU，按一个系列开发项目登记，共用阶段只计一次，不按SKU数量乘开发总金额。参数变化本身不等于工作相同，涉及不同安全要求、功能、结构或性能验证时，应记录实际差异并事先确认独立工作范围。新SKU、新OA编号或跨月不自动构成新项目。详见“系列开发计酬”。</t>
        </is>
      </c>
      <c r="I54" s="3" t="inlineStr">
        <is>
          <t>额外核实并补全一套独立资料：40元；复制整理现成资料：不另计。</t>
        </is>
      </c>
    </row>
    <row r="55" ht="440" customHeight="1" s="1">
      <c r="A55" s="9" t="inlineStr">
        <is>
          <t>新品开发与内容准备</t>
        </is>
      </c>
      <c r="B55" s="9" t="inlineStr">
        <is>
          <t>产品图片策划</t>
        </is>
      </c>
      <c r="C55" s="113" t="n">
        <v>50</v>
      </c>
      <c r="D55" s="82" t="n">
        <v>1</v>
      </c>
      <c r="E55" s="9" t="inlineStr">
        <is>
          <t>50元／独立产品图片方案，不按图片张数累加。</t>
        </is>
      </c>
      <c r="F55" s="9" t="inlineStr">
        <is>
          <t>固定1.0；按实际独立交付计费。</t>
        </is>
      </c>
      <c r="G55" s="115">
        <f>ROUND(C55*D55,2)</f>
        <v/>
      </c>
      <c r="H55" s="9" t="inlineStr">
        <is>
          <t>明确主图和辅图各自展示内容、卖点、参数、文案及参考，提出美工制作要求，跟进修改并核验成图。同一方案多SKU共用只计一次50元；同轮沟通、修改及核验均包含。实际拍摄和修图不属于本人任务。图片上传另按10元/SKU；A+素材策划已含A+75元，相同交付不再计本项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开发计酬：同一产品用途、核心设计和供应方案，仅尺寸、电压、颜色等参数不同且可共用交付的SKU，按一个系列开发项目登记，共用阶段只计一次，不按SKU数量乘开发总金额。参数变化本身不等于工作相同，涉及不同安全要求、功能、结构或性能验证时，应记录实际差异并事先确认独立工作范围。新SKU、新OA编号或跨月不自动构成新项目。详见“系列开发计酬”。</t>
        </is>
      </c>
      <c r="I55" s="3" t="inlineStr">
        <is>
          <t>一套主辅图方案并核验成图：50元；另完成1个SKU图片上传10元：合计60元。</t>
        </is>
      </c>
    </row>
    <row r="56" ht="440" customHeight="1" s="1">
      <c r="A56" s="9" t="inlineStr">
        <is>
          <t>新品开发与内容准备</t>
        </is>
      </c>
      <c r="B56" s="9" t="inlineStr">
        <is>
          <t>视频字幕文案编写</t>
        </is>
      </c>
      <c r="C56" s="113" t="n">
        <v>25</v>
      </c>
      <c r="D56" s="82" t="n">
        <v>1</v>
      </c>
      <c r="E56" s="9" t="inlineStr">
        <is>
          <t>25元／独立视频字幕稿。</t>
        </is>
      </c>
      <c r="F56" s="9" t="inlineStr">
        <is>
          <t>固定1.0；按实际独立交付计费。</t>
        </is>
      </c>
      <c r="G56" s="115">
        <f>ROUND(C56*D56,2)</f>
        <v/>
      </c>
      <c r="H56" s="9" t="inlineStr">
        <is>
          <t>理解产品和视频内容，编写准确且与画面对应的字幕，核对参数及表述，提供段落或时间对应并交付经确认的可用定稿。不包含完整视频脚本策划、拍摄、剪辑。直接使用已有字幕不计编写金额；同稿反复修改不另计，视频上传另按原规则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开发计酬：同一产品用途、核心设计和供应方案，仅尺寸、电压、颜色等参数不同且可共用交付的SKU，按一个系列开发项目登记，共用阶段只计一次，不按SKU数量乘开发总金额。参数变化本身不等于工作相同，涉及不同安全要求、功能、结构或性能验证时，应记录实际差异并事先确认独立工作范围。新SKU、新OA编号或跨月不自动构成新项目。详见“系列开发计酬”。</t>
        </is>
      </c>
      <c r="I56" s="3" t="inlineStr">
        <is>
          <t>编写并核验一份独立字幕稿25元；另上传1个视频15元：合计40元。</t>
        </is>
      </c>
    </row>
    <row r="57" ht="370" customHeight="1" s="1">
      <c r="A57" s="9" t="inlineStr">
        <is>
          <t>数据与经营分析</t>
        </is>
      </c>
      <c r="B57" s="9" t="inlineStr">
        <is>
          <t>利润或亏损原因分析与优化建议</t>
        </is>
      </c>
      <c r="C57" s="113" t="n">
        <v>30</v>
      </c>
      <c r="D57" s="82" t="n">
        <v>1</v>
      </c>
      <c r="E57" s="9" t="inlineStr">
        <is>
          <t>同一站点、一个ASIN、同一次独立利润问题分析：完整30元，初步15元。多个SKU对应同一ASIN不重复计费；多个ASIN共用同一份分析合并，分别独立分析并验收才分别计费。</t>
        </is>
      </c>
      <c r="F57" s="9" t="inlineStr">
        <is>
          <t>固定1.0；按实际验收档位及计费单位确定基础金额。</t>
        </is>
      </c>
      <c r="G57" s="115">
        <f>ROUND(C57*D57,2)</f>
        <v/>
      </c>
      <c r="H57" s="9" t="inlineStr">
        <is>
          <t>核查收入、售价与折扣、采购成本、运输及平台费用、广告、退货损失等相关因素，明确利润口径及对比期间，找出主要变化原因。必须给出有依据的优化建议，说明建议动作、预期作用、优先级及必要验证；不要求建议已执行或利润已改善。
按需指派，不设固定频次。完整分析30元；有数据证据但关键判断未核实，经负责人确认按初步成果结案计15元；仅转发报表或AI原文、无证据或无具体建议，退回补充，暂不结算。初步15元后补成完整分析只补15元，同一任务累计基础金额30元。不以篇幅长短判定；关键数据不可得须说明原因，不自动减半。独立分析与后续独立执行分别验收，相同分析若已包含在其他任务中不重复计酬。同一范围及期间的销量、利润和活动分析使用同一交付时只选一项，不按报告名称重复计费。本人责任纠错不另计酬。负责人安排倍率1；自主发起按未明确项目暂为1，不自行套用高倍率。</t>
        </is>
      </c>
      <c r="I57" s="3" t="inlineStr">
        <is>
          <t>完整报告30元；初步结案15元，之后补齐只补15元。分析完成后另行执行改价，按价格调整项目验收计酬。</t>
        </is>
      </c>
    </row>
    <row r="58" ht="370" customHeight="1" s="1">
      <c r="A58" s="9" t="inlineStr">
        <is>
          <t>数据与经营分析</t>
        </is>
      </c>
      <c r="B58" s="9" t="inlineStr">
        <is>
          <t>活动效果复盘</t>
        </is>
      </c>
      <c r="C58" s="113" t="n">
        <v>30</v>
      </c>
      <c r="D58" s="82" t="n">
        <v>1</v>
      </c>
      <c r="E58" s="9" t="inlineStr">
        <is>
          <t>同一站点、一个独立Coupon／Promotion／Deal活动、一次完整复盘：30元；初步15元。活动包含多个ASIN仍按一份复盘计费；若同一方案的多个活动共用一份报告，合并计费。</t>
        </is>
      </c>
      <c r="F58" s="9" t="inlineStr">
        <is>
          <t>固定1.0；按实际验收档位及计费单位确定基础金额。</t>
        </is>
      </c>
      <c r="G58" s="115">
        <f>ROUND(C58*D58,2)</f>
        <v/>
      </c>
      <c r="H58" s="9" t="inlineStr">
        <is>
          <t>对比活动前、活动期间及适当的后续期间，核查销量、流量、转化、优惠成本、活动费用、广告投入、利润及库存变化。记录同期价格、断货及其他促销影响，不将销售增长直接等同活动增量。给出继续、调整或停止建议及证据。
按需指派，不设固定频次。完整分析30元；有数据证据但关键判断未核实，经负责人确认按初步成果结案计15元；仅转发报表或AI原文、无证据或无具体建议，退回补充，暂不结算。初步15元后补成完整分析只补15元，同一任务累计基础金额30元。不以篇幅长短判定；关键数据不可得须说明原因，不自动减半。独立分析与后续独立执行分别验收，相同分析若已包含在其他任务中不重复计酬。同一范围及期间的销量、利润和活动分析使用同一交付时只选一项，不按报告名称重复计费。本人责任纠错不另计酬。负责人安排倍率1；自主发起按未明确项目暂为1，不自行套用高倍率。</t>
        </is>
      </c>
      <c r="I58" s="3" t="inlineStr">
        <is>
          <t>一场活动覆盖10个ASIN，完整复盘30元。创建活动的报酬按原规则，独立复盘另计；日常查看活动数据不逐次计费。</t>
        </is>
      </c>
    </row>
    <row r="59" ht="370" customHeight="1" s="1">
      <c r="A59" s="0" t="inlineStr">
        <is>
          <t>费用与异常处理</t>
        </is>
      </c>
      <c r="B59" s="0" t="inlineStr">
        <is>
          <t>费用异常核查与Case申诉</t>
        </is>
      </c>
      <c r="C59" s="117" t="n">
        <v>20</v>
      </c>
      <c r="D59" s="118" t="n">
        <v>1</v>
      </c>
      <c r="E59" s="0" t="inlineStr">
        <is>
          <t>20元/独立费用问题（含核查、证据整理、开Case及跟进）。同站点、同类收费原因且共用证据与处理过程的对象合并；不按ASIN、SKU、收费记录或Case数量累加。</t>
        </is>
      </c>
      <c r="F59" s="0" t="inlineStr">
        <is>
          <t>固定1.0；按实际验收档位及计费单位确定基础金额。</t>
        </is>
      </c>
      <c r="G59" s="114">
        <f>ROUND(C59*D59,2)</f>
        <v/>
      </c>
      <c r="H59" s="0" t="inlineStr">
        <is>
          <t>核对实际收费与对应商品尺寸、重量、适用计费依据或交易记录，整理费用差异及证据，提交Case并跟进回复、补充资料及核验处理结果。适用于商品尺寸重量引起的费用疑问或其他收费异常；不包含普通FBA货件问题。
包含异常核查、差额计算、证据整理、Case提交及补充跟进，不另叠加利润分析或Listing异常处理的相同交付。平台是否退款／更正与任务完成分别记录；处理完成并核验，或证据及回复完整且负责人确认阶段结案后计酬。仍处理中暂不结算，同一问题阶段结案后恢复或到账不重复计费。不以退款金额或催办次数加价。本人责任纠错不另计酬。负责人安排倍率1；主动发现并完成处理，按异常处理主动倍率1.5，即30元。</t>
        </is>
      </c>
      <c r="I59" s="0" t="inlineStr">
        <is>
          <t>同一费用问题多次开Case：仍20元。平台未支持申请，材料完整且负责人确认结案：20元；仍处理中暂不结算。</t>
        </is>
      </c>
    </row>
    <row r="60" ht="410" customHeight="1" s="1">
      <c r="A60" s="0" t="inlineStr">
        <is>
          <t>品牌保护</t>
        </is>
      </c>
      <c r="B60" s="0" t="inlineStr">
        <is>
          <t>跟卖监控</t>
        </is>
      </c>
      <c r="C60" s="118" t="n">
        <v>5</v>
      </c>
      <c r="D60" s="118" t="n">
        <v>1</v>
      </c>
      <c r="E60" s="0" t="inlineStr">
        <is>
          <t>5元/站点/约定监控清单/自然周。按完成的约定检查次数÷应检查次数折算；当周无任务为0。不得拆清单提高金额。</t>
        </is>
      </c>
      <c r="F60" s="0" t="inlineStr">
        <is>
          <t>固定1.0；按实际任务档位及单位计费。</t>
        </is>
      </c>
      <c r="G60" s="0">
        <f>ROUND(C60*D60,2)</f>
        <v/>
      </c>
      <c r="H60" s="0" t="inlineStr">
        <is>
          <t>按要求检查指定ASIN的其他报价及卖家变化，记录时间、ASIN、卖家标识、价格及可获得证据，发现疑似异常及时报告。
固定监控倍率1；程序自动监控且无需人工核验不计人工任务金额。未发现异常但完成约定核验仍可验收。监控记录与后续独立取证投诉可分别计费，同一发现不额外领取发现费。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0" s="0" t="inlineStr">
        <is>
          <t>按周验收，无异常也可完成；本周全部检查完成5元。</t>
        </is>
      </c>
    </row>
    <row r="61" ht="410" customHeight="1" s="1">
      <c r="A61" s="49" t="inlineStr">
        <is>
          <t>品牌保护</t>
        </is>
      </c>
      <c r="B61" s="0" t="inlineStr">
        <is>
          <t>跟卖取证与举报／Case处理</t>
        </is>
      </c>
      <c r="C61" s="118" t="n">
        <v>30</v>
      </c>
      <c r="D61" s="118" t="n">
        <v>1</v>
      </c>
      <c r="E61" s="0" t="inlineStr">
        <is>
          <t>已有有效证据，完成核查、举报／Case及跟进：30元/独立案件；另需完成Test Buy取证全过程：整案50元。两档只取最高，先结30元后补足最多20元。</t>
        </is>
      </c>
      <c r="F61" s="0" t="inlineStr">
        <is>
          <t>固定1.0；按实际任务档位及单位计费。</t>
        </is>
      </c>
      <c r="G61" s="0">
        <f>ROUND(C61*D61,2)</f>
        <v/>
      </c>
      <c r="H61" s="0" t="inlineStr">
        <is>
          <t>核实疑似违规；确需Test Buy时经负责人确认采购及预算，跟进收货、保留订单与实物照片并核对差异。依据证据选择亚马逊举报、Case或Brand Registry适用渠道，跟进处理及报价状态。
站点＋被举报卖家＋同一违规事实及共用证据为案件范围；多ASIN共用证据处理时合并，多渠道或多Case不累加。存在其他报价不等于违规；不以未获品牌授权直接认定假货，不提交无依据投诉。下架后核验，或调查及跟进完整、负责人确认阶段结案后计酬；未下架不自动判定未完成。Test Buy未发现违规时提交证据与不投诉结论，可按实际取证范围由负责人结案，确已完成完整Test Buy调查可计50元。样品购买不叠加样品备货协调分；同一交付不叠加Buy Box或Listing申诉。主动发现并完成案件处理倍率1.5；仅例行监控后按既定职责处理，按正常履职确认来源。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1" s="0" t="inlineStr">
        <is>
          <t>多渠道反复投诉仍30元；独立完成Test Buy取证及案件处理50元。实际货款运费另行处理。</t>
        </is>
      </c>
    </row>
    <row r="62" ht="410" customHeight="1" s="1">
      <c r="A62" s="50" t="inlineStr">
        <is>
          <t>品牌项目</t>
        </is>
      </c>
      <c r="B62" s="0" t="inlineStr">
        <is>
          <t>Vine报名与跟进</t>
        </is>
      </c>
      <c r="C62" s="118" t="n">
        <v>15</v>
      </c>
      <c r="D62" s="118" t="n">
        <v>1</v>
      </c>
      <c r="E62" s="0" t="inlineStr">
        <is>
          <t>15元/独立Vine报名项目。以后台报名记录去重，不按子SKU、领取件数或评论数量累加。</t>
        </is>
      </c>
      <c r="F62" s="0" t="inlineStr">
        <is>
          <t>固定1.0；按实际任务档位及单位计费。</t>
        </is>
      </c>
      <c r="G62" s="0">
        <f>ROUND(C62*D62,2)</f>
        <v/>
      </c>
      <c r="H62" s="0" t="inlineStr">
        <is>
          <t>核对参与资格、商品、库存、报名数量及费用，按确认方案报名，核验提交结果并记录约定跟进节点的领取和评论状态。
首次资格核查、报名、常规修正和约定节点跟进合并15元；派单时约定验收节点，不逐周重复收费。不以好评、星级或评论必然产生作为验收条件，不要求员工干预评论。平台报名费及赠送商品成本不含任务金额。早期评论人计划已停止，不设该项目任务。自主发起仍按未明确项目倍率1，后续另定不自动套高倍率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2" s="0" t="inlineStr">
        <is>
          <t>一个报名项目覆盖多个子SKU：15元；同一报名重复查看或修改不新增报酬。</t>
        </is>
      </c>
    </row>
    <row r="63" ht="410" customHeight="1" s="1">
      <c r="A63" s="0" t="inlineStr">
        <is>
          <t>品牌内容</t>
        </is>
      </c>
      <c r="B63" s="0" t="inlineStr">
        <is>
          <t>Brand Story品牌故事制作与维护</t>
        </is>
      </c>
      <c r="C63" s="118" t="n">
        <v>75</v>
      </c>
      <c r="D63" s="118" t="n">
        <v>1</v>
      </c>
      <c r="E63" s="0" t="inlineStr">
        <is>
          <t>全新策划或完全重做：75元/独立内容；局部修改：10元/同份同轮；仅为已有内容新增绑定：5元/ASIN。</t>
        </is>
      </c>
      <c r="F63" s="0" t="inlineStr">
        <is>
          <t>固定1.0；按实际任务档位及单位计费。</t>
        </is>
      </c>
      <c r="G63" s="0">
        <f>ROUND(C63*D63,2)</f>
        <v/>
      </c>
      <c r="H63" s="0" t="inlineStr">
        <is>
          <t>构思品牌故事、文案及图片要求，协调制作，设置卡片和链接、提交并核验；或按确认范围修改现有内容、维护ASIN绑定。
新建75元含策划、制作跟进、发布及首次绑定；同一内容多ASIN共用只计一次。局部修改不按卡片数量累加。新建或重做不叠加局部修改；同一份内容不再领取A+制作/修改或相同素材图片策划金额。不同的产品A+与品牌故事确有独立交付时可分别验收。自主实质重做有证据方案且完成复盘适用内容重写倍率2；自主局部维护或绑定倍率1.5；首次制作按发布核验，后续优化按复盘规则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3" s="0" t="inlineStr">
        <is>
          <t>同份品牌故事应用20个ASIN，新建合计75元；后续独立绑定3个ASIN计15元。</t>
        </is>
      </c>
    </row>
    <row r="64" ht="410" customHeight="1" s="1">
      <c r="A64" s="51" t="inlineStr">
        <is>
          <t>订阅销售</t>
        </is>
      </c>
      <c r="B64" s="51" t="inlineStr">
        <is>
          <t>Subscribe &amp; Save设置与管理</t>
        </is>
      </c>
      <c r="C64" s="119" t="n">
        <v>10</v>
      </c>
      <c r="D64" s="120" t="n">
        <v>1</v>
      </c>
      <c r="E64" s="51" t="inlineStr">
        <is>
          <t>同次安排、同站点、同一订阅方案的一批设置或更新：10元。包含多个ASIN或多个调整动作仍计一次。</t>
        </is>
      </c>
      <c r="F64" s="53" t="inlineStr">
        <is>
          <t>固定1.0；按实际任务档位及单位计费。</t>
        </is>
      </c>
      <c r="G64" s="53">
        <f>ROUND(C64*D64,2)</f>
        <v/>
      </c>
      <c r="H64" s="52" t="inlineStr">
        <is>
          <t>核对后台可参与商品及资格，按负责人确认方案加入或退出商品、设置或调整订阅优惠，并核验参与状态、折扣及生效情况。
不按SKU、订阅订单或设置次数累加；不把平台自动加入、自动折扣或无需人工的变化当作任务。默认按确认方案执行；员工主动发现独立机会并完成，经认定可按促销执行倍率1.5。设置已含的参数修正不另计，不与同一价格或促销交付重复计费。不以产生订阅订单作为执行验收条件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4" s="0" t="inlineStr">
        <is>
          <t>同批10个ASIN加入并设折扣：10元；主动任务符合1.5倍时15元。</t>
        </is>
      </c>
    </row>
    <row r="65" ht="410" customHeight="1" s="1">
      <c r="A65" s="54" t="inlineStr">
        <is>
          <t>组合销售</t>
        </is>
      </c>
      <c r="B65" s="28" t="inlineStr">
        <is>
          <t>Virtual Bundle创建与维护</t>
        </is>
      </c>
      <c r="C65" s="119" t="n">
        <v>25</v>
      </c>
      <c r="D65" s="121" t="n">
        <v>1</v>
      </c>
      <c r="E65" s="28" t="inlineStr">
        <is>
          <t>新建：25元/独立虚拟捆绑商品；已有捆绑同轮内容或可编辑设置维护：10元/个。</t>
        </is>
      </c>
      <c r="F65" s="53" t="inlineStr">
        <is>
          <t>固定1.0；按实际任务档位及单位计费。</t>
        </is>
      </c>
      <c r="G65" s="53">
        <f>ROUND(C65*D65,2)</f>
        <v/>
      </c>
      <c r="H65" s="52" t="inlineStr">
        <is>
          <t>核对后台资格及组成商品，按确认组合填写文案、图片、价格等可编辑资料，创建并核验；维护时按后台实际允许的字段更新及核验。
新建包含初始配置、提交、常规报错修正及核验，不再叠加普通Listing创建、初始文案填入或图片上传。需要独立原创内容或素材策划且不属创建中已有资料改写时，按对应独立交付验收，相同工作只计一次。FBA虚拟组合不计重新包装或实物发货任务。不得通过重复建立相同组合、删后重建或拆分任务增加金额；后台不允许编辑的组成变更须先确认方案。主动专项倍率暂按未明确项目1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5" s="0" t="inlineStr">
        <is>
          <t>新建1个虚拟组合25元；同组合本轮改标题和价格合计10元；新建时这些初始配置不另加10元。</t>
        </is>
      </c>
    </row>
    <row r="66" ht="17.64999961853027" customHeight="1" s="1">
      <c r="A66" s="54" t="n"/>
      <c r="B66" s="28" t="n"/>
      <c r="C66" s="52" t="n"/>
      <c r="D66" s="55" t="n"/>
      <c r="E66" s="28" t="n"/>
      <c r="F66" s="53" t="n"/>
      <c r="G66" s="53" t="n"/>
      <c r="H66" s="52" t="n"/>
    </row>
    <row r="67" ht="17.64999961853027" customHeight="1" s="1">
      <c r="A67" s="54" t="n"/>
      <c r="B67" s="28" t="n"/>
      <c r="C67" s="52" t="n"/>
      <c r="D67" s="55" t="n"/>
      <c r="E67" s="28" t="n"/>
      <c r="F67" s="53" t="n"/>
      <c r="G67" s="53" t="n"/>
      <c r="H67" s="52" t="n"/>
    </row>
    <row r="68" ht="17.64999961853027" customHeight="1" s="1">
      <c r="A68" s="54" t="n"/>
      <c r="B68" s="28" t="n"/>
      <c r="C68" s="52" t="n"/>
      <c r="D68" s="55" t="n"/>
      <c r="E68" s="28" t="n"/>
      <c r="F68" s="53" t="n"/>
      <c r="G68" s="53" t="n"/>
      <c r="H68" s="52" t="n"/>
    </row>
    <row r="69" ht="25.89999961853027" customHeight="1" s="1">
      <c r="A69" s="54" t="n"/>
      <c r="B69" s="28" t="n"/>
      <c r="C69" s="52" t="n"/>
      <c r="D69" s="55" t="n"/>
      <c r="E69" s="28" t="n"/>
      <c r="F69" s="53" t="n"/>
      <c r="G69" s="53" t="n"/>
      <c r="H69" s="52" t="n"/>
    </row>
    <row r="70" ht="25.5" customHeight="1" s="1">
      <c r="A70" s="54" t="n"/>
      <c r="B70" s="28" t="n"/>
      <c r="C70" s="52" t="n"/>
      <c r="D70" s="55" t="n"/>
      <c r="E70" s="28" t="n"/>
      <c r="F70" s="53" t="n"/>
      <c r="G70" s="53" t="n"/>
      <c r="H70" s="52" t="n"/>
    </row>
    <row r="71" ht="15" customHeight="1" s="1">
      <c r="A71" s="54" t="inlineStr">
        <is>
          <t>主动执行倍率规则</t>
        </is>
      </c>
      <c r="B71" s="28" t="n"/>
      <c r="C71" s="52" t="n"/>
      <c r="D71" s="55" t="n"/>
      <c r="E71" s="28" t="n"/>
      <c r="F71" s="53" t="n"/>
      <c r="G71" s="53" t="n"/>
      <c r="H71" s="52" t="n"/>
      <c r="I71" s="0" t="n"/>
    </row>
    <row r="72" ht="63.75" customHeight="1" s="1">
      <c r="A72" s="54" t="inlineStr">
        <is>
          <t>主动任务金额 ＝ 正常任务金额 × 主动倍率。主动执行指员工自主发现问题或机会并发起处理，非负责人安排。</t>
        </is>
      </c>
      <c r="B72" s="28" t="n"/>
      <c r="C72" s="52" t="n"/>
      <c r="D72" s="55" t="n"/>
      <c r="E72" s="28" t="n"/>
      <c r="F72" s="53" t="n"/>
      <c r="G72" s="53" t="n"/>
      <c r="H72" s="52" t="n"/>
      <c r="I72" s="0" t="n"/>
    </row>
    <row r="73" ht="17.64999961853027" customHeight="1" s="1">
      <c r="A73" s="54" t="n"/>
      <c r="B73" s="28" t="n"/>
      <c r="C73" s="52" t="n"/>
      <c r="D73" s="55" t="n"/>
      <c r="E73" s="28" t="n"/>
      <c r="F73" s="53" t="n"/>
      <c r="G73" s="53" t="n"/>
      <c r="H73" s="52" t="n"/>
      <c r="I73" s="0" t="n"/>
    </row>
    <row r="74" ht="13.10000038146973" customHeight="1" s="1">
      <c r="A74" s="54" t="inlineStr">
        <is>
          <t>工作分类</t>
        </is>
      </c>
      <c r="B74" s="28" t="inlineStr">
        <is>
          <t>对应项目</t>
        </is>
      </c>
      <c r="C74" s="52" t="n"/>
      <c r="D74" s="55" t="inlineStr">
        <is>
          <t>主动倍率</t>
        </is>
      </c>
      <c r="E74" s="28" t="inlineStr">
        <is>
          <t>认定条件</t>
        </is>
      </c>
      <c r="F74" s="53" t="n"/>
      <c r="G74" s="53" t="n"/>
      <c r="H74" s="52" t="n"/>
      <c r="I74" s="0" t="n"/>
    </row>
    <row r="75" ht="17.64999961853027" customHeight="1" s="1">
      <c r="A75" s="54" t="inlineStr">
        <is>
          <t>Listing内容实质重写</t>
        </is>
      </c>
      <c r="B75" s="28" t="inlineStr">
        <is>
          <t>标题编写与优化、五点编写与优化、描述编写与优化、Generic Keywords编写与优化、全新制作或完全重做A+</t>
        </is>
      </c>
      <c r="C75" s="52" t="n"/>
      <c r="D75" s="55" t="inlineStr">
        <is>
          <t>×2</t>
        </is>
      </c>
      <c r="E75" s="28" t="inlineStr">
        <is>
          <t>主动分析问题、提出方案，实际重写或重做并完成复盘。单纯纠错、翻译、上传已有内容不属于此档。</t>
        </is>
      </c>
      <c r="F75" s="53" t="n"/>
      <c r="G75" s="53" t="n"/>
      <c r="H75" s="52" t="n"/>
      <c r="I75" s="0" t="n"/>
    </row>
    <row r="76" ht="17.64999961853027" customHeight="1" s="1">
      <c r="A76" s="0" t="inlineStr">
        <is>
          <t>广告新建</t>
        </is>
      </c>
      <c r="B76" s="0" t="inlineStr">
        <is>
          <t>SP广告创建、SB广告创建、SBV广告创建、SD广告创建</t>
        </is>
      </c>
      <c r="D76" s="0" t="inlineStr">
        <is>
          <t>×2</t>
        </is>
      </c>
      <c r="E76" s="0" t="inlineStr">
        <is>
          <t>主动提出投放机会，说明产品、投放方向及测试目标，完成创建和复盘。复制已有Campaign不能仅凭新建数量拿双倍。</t>
        </is>
      </c>
      <c r="I76" s="0" t="n"/>
    </row>
    <row r="77" ht="17.64999961853027" customHeight="1" s="1">
      <c r="A77" s="56" t="inlineStr">
        <is>
          <t>广告调整</t>
        </is>
      </c>
      <c r="B77" s="0" t="inlineStr">
        <is>
          <t>广告执行调整（涵盖关键词、否定词、产品归组、ASIN投放、Bid调整）</t>
        </is>
      </c>
      <c r="D77" s="0" t="inlineStr">
        <is>
          <t>×1</t>
        </is>
      </c>
      <c r="E77" s="0" t="inlineStr">
        <is>
          <t>有依据并完成核验。每Campaign每自然周最多计2次，跨人员、跨发起来源合并统计。可关联多条Ads Change。</t>
        </is>
      </c>
      <c r="I77" s="0" t="n"/>
    </row>
    <row r="78" ht="17.64999961853027" customHeight="1" s="1">
      <c r="A78" s="50" t="inlineStr">
        <is>
          <t>异常处理／申诉</t>
        </is>
      </c>
      <c r="B78" s="0" t="inlineStr">
        <is>
          <t>Listing异常申诉与Case处理、Buy Box异常处理、Brand Store提交阻断问题处理、费用异常核查与Case申诉</t>
        </is>
      </c>
      <c r="D78" s="0" t="inlineStr">
        <is>
          <t>×1.5</t>
        </is>
      </c>
      <c r="E78" s="0" t="inlineStr">
        <is>
          <t>主动发现、及时记录并推动处理；同一问题反复提交只计一次。</t>
        </is>
      </c>
      <c r="I78" s="0" t="n"/>
    </row>
    <row r="79" ht="25.89999961853027" customHeight="1" s="1">
      <c r="A79" s="50" t="inlineStr">
        <is>
          <t>Listing事实纠错及局部维护</t>
        </is>
      </c>
      <c r="B79" s="0" t="inlineStr">
        <is>
          <t>Listing纠错、A+内容增删修改、图片维护、视频上传与信息维护、变体关系维护</t>
        </is>
      </c>
      <c r="D79" s="0" t="inlineStr">
        <is>
          <t>×1.5</t>
        </is>
      </c>
      <c r="E79" s="0" t="inlineStr">
        <is>
          <t>主动发现并完成纠正或维护。事实纠错≠内容实质重写，不适用×2。</t>
        </is>
      </c>
      <c r="I79" s="0" t="n"/>
    </row>
    <row r="80" ht="25.5" customHeight="1" s="1">
      <c r="A80" s="50" t="inlineStr">
        <is>
          <t>价格／促销／库存等执行类</t>
        </is>
      </c>
      <c r="B80" s="0" t="inlineStr">
        <is>
          <t>价格调整、Coupon与Promotion创建、Deal活动提报、库存移除／Relist／申诉／资料提交</t>
        </is>
      </c>
      <c r="D80" s="0" t="inlineStr">
        <is>
          <t>×1.5</t>
        </is>
      </c>
      <c r="E80" s="0" t="inlineStr">
        <is>
          <t>主动发现具体问题或机会，提出合理措施并完成处理。</t>
        </is>
      </c>
      <c r="I80" s="0" t="n"/>
    </row>
    <row r="81" ht="17.64999961853027" customHeight="1" s="1">
      <c r="A81" s="0" t="inlineStr">
        <is>
          <t>Brand Store维护</t>
        </is>
      </c>
      <c r="B81" s="0" t="inlineStr">
        <is>
          <t>二级类目商品维护、二级类目模块新增或重建</t>
        </is>
      </c>
      <c r="D81" s="0" t="inlineStr">
        <is>
          <t>×1.5</t>
        </is>
      </c>
      <c r="E81" s="0" t="inlineStr">
        <is>
          <t>主动发现维护需求并完成更新。</t>
        </is>
      </c>
      <c r="I81" s="0" t="n"/>
    </row>
    <row r="82" ht="17.64999961853027" customHeight="1" s="1">
      <c r="A82" s="56" t="inlineStr">
        <is>
          <t>新品开发</t>
        </is>
      </c>
      <c r="B82" s="0" t="inlineStr">
        <is>
          <t>市场调研与产品建议、厂家筛选报价与合作条件确认、样品评估及问题跟进</t>
        </is>
      </c>
      <c r="D82" s="0" t="inlineStr">
        <is>
          <t>×1.5</t>
        </is>
      </c>
      <c r="E82" s="0" t="inlineStr">
        <is>
          <t>主动发起开发选题，完成调研、找厂或样品验证的完整阶段交付并通过验收。仅执行已安排任务不属于此档。</t>
        </is>
      </c>
      <c r="I82" s="0" t="n"/>
    </row>
    <row r="83" ht="17.64999961853027" customHeight="1" s="1">
      <c r="A83" s="50" t="inlineStr">
        <is>
          <t>产品内容策划</t>
        </is>
      </c>
      <c r="B83" s="0" t="inlineStr">
        <is>
          <t>产品资料整理与确认、产品图片策划、视频字幕文案编写</t>
        </is>
      </c>
      <c r="D83" s="0" t="inlineStr">
        <is>
          <t>×1.5</t>
        </is>
      </c>
      <c r="E83" s="0" t="inlineStr">
        <is>
          <t>主动发起内容准备工作并完成交付。仅复制整理现成资料、使用已有字幕不属于此档。</t>
        </is>
      </c>
      <c r="I83" s="0" t="n"/>
    </row>
    <row r="84">
      <c r="A84" s="50" t="inlineStr">
        <is>
          <t>数据与经营分析</t>
        </is>
      </c>
      <c r="B84" s="0" t="inlineStr">
        <is>
          <t>利润或亏损原因分析与优化建议、活动效果复盘</t>
        </is>
      </c>
      <c r="D84" s="0" t="inlineStr">
        <is>
          <t>×1.5</t>
        </is>
      </c>
      <c r="E84" s="0" t="inlineStr">
        <is>
          <t>主动发现经营问题或活动复盘需求，完成分析并提出有依据的建议。仅执行已安排的分析不属于此档。</t>
        </is>
      </c>
    </row>
    <row r="85" ht="13.10000038146973" customHeight="1" s="1">
      <c r="A85" s="50" t="inlineStr">
        <is>
          <t>品牌保护—监控</t>
        </is>
      </c>
      <c r="B85" s="0" t="inlineStr">
        <is>
          <t>跟卖监控</t>
        </is>
      </c>
      <c r="D85" s="0" t="inlineStr">
        <is>
          <t>×1</t>
        </is>
      </c>
      <c r="E85" s="0" t="inlineStr">
        <is>
          <t>固定巡检任务，不享受主动倍率。程序自动监控且无需人工核验不计人工任务金额。</t>
        </is>
      </c>
    </row>
    <row r="86" ht="12.75" customHeight="1" s="1">
      <c r="A86" s="50" t="inlineStr">
        <is>
          <t>品牌保护—取证与投诉</t>
        </is>
      </c>
      <c r="B86" s="0" t="inlineStr">
        <is>
          <t>跟卖取证与举报／Case处理</t>
        </is>
      </c>
      <c r="D86" s="0" t="inlineStr">
        <is>
          <t>×1.5</t>
        </is>
      </c>
      <c r="E86" s="0" t="inlineStr">
        <is>
          <t>主动发现跟卖并发起取证投诉流程；正常履职的定期排查结果按×1。报酬与Test Buy货款运费分开。</t>
        </is>
      </c>
    </row>
    <row r="87" ht="12.75" customHeight="1" s="1">
      <c r="A87" s="50" t="inlineStr">
        <is>
          <t>品牌内容策划</t>
        </is>
      </c>
      <c r="B87" s="0" t="inlineStr">
        <is>
          <t>Brand Story品牌故事制作与维护</t>
        </is>
      </c>
      <c r="D87" s="122" t="inlineStr">
        <is>
          <t>实质重做×2
局部维护／绑定×1.5</t>
        </is>
      </c>
      <c r="E87" s="0" t="inlineStr">
        <is>
          <t>全新策划或完全重做按×2（同Listing内容实质重写标准）；局部修改或新增ASIN绑定按×1.5。</t>
        </is>
      </c>
    </row>
    <row r="88" ht="12.75" customHeight="1" s="1">
      <c r="A88" s="50" t="inlineStr">
        <is>
          <t>订阅销售</t>
        </is>
      </c>
      <c r="B88" s="0" t="inlineStr">
        <is>
          <t>Subscribe &amp; Save设置与管理</t>
        </is>
      </c>
      <c r="D88" s="0" t="inlineStr">
        <is>
          <t>×1.5</t>
        </is>
      </c>
      <c r="E88" s="0" t="inlineStr">
        <is>
          <t>主动发现可参与商品或优化订阅方案并完成设置。按已安排方案执行不属于此档。</t>
        </is>
      </c>
    </row>
    <row r="89">
      <c r="A89" s="50" t="inlineStr">
        <is>
          <t>组合销售与品牌项目</t>
        </is>
      </c>
      <c r="B89" s="0" t="inlineStr">
        <is>
          <t>Virtual Bundle创建与维护、Vine报名与跟进</t>
        </is>
      </c>
      <c r="D89" s="0" t="inlineStr">
        <is>
          <t>×1</t>
        </is>
      </c>
      <c r="E89" s="0" t="inlineStr">
        <is>
          <t>按确认方案执行并验收。Virtual Bundle和Vine均为执行类任务，暂不设主动倍率加成。</t>
        </is>
      </c>
    </row>
    <row r="90" ht="13.10000038146973" customHeight="1" s="1">
      <c r="A90" s="123" t="inlineStr">
        <is>
          <t>固定例行工作</t>
        </is>
      </c>
      <c r="B90" s="0" t="inlineStr">
        <is>
          <t>VOC数据更新与AI分析、Category Report下载、关键词市场占有率统计及竞品检查、A+翻译后发布、翻译后批量更新Listing文案</t>
        </is>
      </c>
      <c r="D90" s="0" t="inlineStr">
        <is>
          <t>×1</t>
        </is>
      </c>
      <c r="E90" s="0" t="inlineStr">
        <is>
          <t>固定周期或已有内容的翻译发布任务，不享受主动倍率。</t>
        </is>
      </c>
      <c r="I90" s="0" t="n"/>
    </row>
    <row r="91" ht="140" customHeight="1" s="1">
      <c r="A91" s="123" t="inlineStr">
        <is>
          <t>未明确列入的项目</t>
        </is>
      </c>
      <c r="B91" s="0" t="inlineStr">
        <is>
          <t>（暂按×1，不自行套用高倍率）</t>
        </is>
      </c>
      <c r="D91" s="0" t="inlineStr">
        <is>
          <t>×1</t>
        </is>
      </c>
      <c r="E91" s="0" t="inlineStr">
        <is>
          <t>如有争议，由负责人认定适用分类。</t>
        </is>
      </c>
      <c r="I91" s="0" t="n"/>
    </row>
    <row r="92">
      <c r="A92" s="0" t="n"/>
      <c r="I92" s="0" t="n"/>
    </row>
    <row r="93">
      <c r="A93" s="0" t="inlineStr">
        <is>
          <t>边界规则</t>
        </is>
      </c>
      <c r="I93" s="0" t="n"/>
    </row>
    <row r="94">
      <c r="A94" s="0" t="inlineStr">
        <is>
          <t>① 主动发现后及时登记即可，不要求处理完才申报。提出方案后经负责人批准执行，仍算主动；隐瞒或拖延已知问题不享受倍率。</t>
        </is>
      </c>
      <c r="I94" s="0" t="n"/>
    </row>
    <row r="95" ht="60" customHeight="1" s="1">
      <c r="A95" s="0" t="inlineStr">
        <is>
          <t>② 固定巡检、例行维护、已被安排的任务，以及修复本人错误，不享受主动倍率。</t>
        </is>
      </c>
    </row>
    <row r="96">
      <c r="A96" s="0" t="inlineStr">
        <is>
          <t>③ 同一工作只计算一次乘倍率后的金额，不再另加正常金额。未完成处理及必要核验的，先保留记录，不提前领取完整金额。</t>
        </is>
      </c>
      <c r="I96" s="0" t="n"/>
    </row>
    <row r="97">
      <c r="A97" s="0" t="n"/>
      <c r="I97" s="0" t="n"/>
    </row>
    <row r="98">
      <c r="A98" s="0" t="inlineStr">
        <is>
          <t>广告调整频次限制</t>
        </is>
      </c>
      <c r="B98" s="0" t="n"/>
      <c r="C98" s="0" t="n"/>
      <c r="D98" s="0" t="n"/>
      <c r="E98" s="0" t="n"/>
      <c r="F98" s="0" t="n"/>
      <c r="G98" s="0" t="n"/>
      <c r="H98" s="0" t="n"/>
      <c r="I98" s="0" t="n"/>
    </row>
    <row r="99">
      <c r="A99" s="0" t="inlineStr">
        <is>
          <t>同一广告账户、同一站点、同一Campaign，每自然周最多结算2次，每次10元、每周最高20元；负责人安排和员工主动执行合并统计，多人参与不增加次数。同一次调整可关联多条Ads Change。超出次数的必要调整仍须执行，但不另结算。
示例：同周A有效调整2次、B调整1次、C调整3次，分别20元、10元、20元，合计50元。</t>
        </is>
      </c>
      <c r="B99" s="0" t="n"/>
      <c r="C99" s="0" t="n"/>
      <c r="D99" s="0" t="n"/>
      <c r="E99" s="0" t="n"/>
      <c r="F99" s="0" t="n"/>
      <c r="G99" s="0" t="n"/>
      <c r="H99" s="0" t="n"/>
      <c r="I99" s="0" t="n"/>
    </row>
    <row r="101">
      <c r="A101" s="133" t="n"/>
    </row>
  </sheetData>
  <mergeCells count="36">
    <mergeCell ref="B91:C91"/>
    <mergeCell ref="B90:C90"/>
    <mergeCell ref="B81:C81"/>
    <mergeCell ref="E91:H91"/>
    <mergeCell ref="E85:H85"/>
    <mergeCell ref="E76:H76"/>
    <mergeCell ref="E81:H81"/>
    <mergeCell ref="E75:H75"/>
    <mergeCell ref="B77:C77"/>
    <mergeCell ref="B79:C79"/>
    <mergeCell ref="B86:C86"/>
    <mergeCell ref="B88:C88"/>
    <mergeCell ref="B82:C82"/>
    <mergeCell ref="B87:C87"/>
    <mergeCell ref="B78:C78"/>
    <mergeCell ref="E83:H83"/>
    <mergeCell ref="E79:H79"/>
    <mergeCell ref="E88:H88"/>
    <mergeCell ref="E82:H82"/>
    <mergeCell ref="B84:C84"/>
    <mergeCell ref="E87:H87"/>
    <mergeCell ref="B83:C83"/>
    <mergeCell ref="B74:C74"/>
    <mergeCell ref="E84:H84"/>
    <mergeCell ref="E78:H78"/>
    <mergeCell ref="E80:H80"/>
    <mergeCell ref="B80:C80"/>
    <mergeCell ref="B76:C76"/>
    <mergeCell ref="E74:H74"/>
    <mergeCell ref="B89:C89"/>
    <mergeCell ref="B85:C85"/>
    <mergeCell ref="E90:H90"/>
    <mergeCell ref="E86:H86"/>
    <mergeCell ref="E77:H77"/>
    <mergeCell ref="E89:H89"/>
    <mergeCell ref="B75:C75"/>
  </mergeCells>
  <dataValidations count="4">
    <dataValidation sqref="D8 D20 D24 D41:D42" showDropDown="0" showInputMessage="0" showErrorMessage="0" allowBlank="0" type="list">
      <formula1>"1,1.3,1.6"</formula1>
    </dataValidation>
    <dataValidation sqref="D9 D21" showDropDown="0" showInputMessage="0" showErrorMessage="0" allowBlank="0" type="list">
      <formula1>"1,1.3"</formula1>
    </dataValidation>
    <dataValidation sqref="D10:D19 D22:D23 D25:D40 D43:D49 D50 D51 D52 D53 D54 D55 D56" showDropDown="0" showInputMessage="0" showErrorMessage="0" allowBlank="0" type="list">
      <formula1>"1"</formula1>
    </dataValidation>
    <dataValidation sqref="C8:C62" showDropDown="0" showInputMessage="0" showErrorMessage="0" allowBlank="0" type="decimal" operator="between">
      <formula1>0</formula1>
      <formula2>1000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E38"/>
  <sheetViews>
    <sheetView showGridLines="0" workbookViewId="0">
      <pane ySplit="7" topLeftCell="A8" activePane="bottomLeft" state="frozen"/>
      <selection activeCell="A1" sqref="A1"/>
    </sheetView>
  </sheetViews>
  <sheetFormatPr baseColWidth="8" defaultColWidth="9" defaultRowHeight="13.5"/>
  <cols>
    <col width="24" customWidth="1" style="1" min="1" max="1"/>
    <col width="51" customWidth="1" style="1" min="2" max="2"/>
    <col width="13" customWidth="1" style="1" min="3" max="3"/>
    <col width="47" customWidth="1" style="1" min="4" max="4"/>
    <col width="58" customWidth="1" style="1" min="5" max="5"/>
  </cols>
  <sheetData>
    <row r="1">
      <c r="A1" s="33" t="n"/>
      <c r="B1" s="33" t="n"/>
      <c r="C1" s="33" t="n"/>
      <c r="D1" s="33" t="n"/>
      <c r="E1" s="33" t="n"/>
    </row>
    <row r="2" ht="24" customHeight="1" s="1">
      <c r="A2" s="6" t="inlineStr">
        <is>
          <t>主动改善评价与计费规则</t>
        </is>
      </c>
      <c r="B2" s="33" t="n"/>
      <c r="C2" s="33" t="n"/>
      <c r="D2" s="33" t="n"/>
      <c r="E2" s="33" t="n"/>
    </row>
    <row r="3" ht="24" customHeight="1" s="1">
      <c r="A3" s="34" t="inlineStr">
        <is>
          <t>主动任务不设独立案例奖金档位。正常任务金额＝累计基础金额×难度系数；主动任务金额＝正常任务金额×适用主动倍率。同一任务只结算一次，行为层次只用于认定，不产生额外金额。</t>
        </is>
      </c>
      <c r="B3" s="33" t="n"/>
      <c r="C3" s="33" t="n"/>
      <c r="D3" s="33" t="n"/>
      <c r="E3" s="33" t="n"/>
    </row>
    <row r="4" ht="75" customHeight="1" s="1">
      <c r="A4" s="33" t="inlineStr">
        <is>
          <t>按实际发起来源选择唯一计费路径：负责人安排的工作计任务金额；员工自主发现并发起的改善按正常任务金额×主动倍率计算，不再叠加任务金额。员工先提出建议、经负责人批准后执行，仍属主动改善；补建任务或认领变化不改变来源。 案例继续在现有主动改善页面记录，并关联任务编号。</t>
        </is>
      </c>
      <c r="B4" s="33" t="n"/>
      <c r="C4" s="33" t="n"/>
      <c r="D4" s="33" t="n"/>
      <c r="E4" s="33" t="n"/>
    </row>
    <row r="5" ht="24" customHeight="1" s="1">
      <c r="A5" s="33" t="inlineStr">
        <is>
          <t>下表定义行为层次，仅用于判断主动行为是否成立及深度（发现→解决→持续改善），不产生独立金额。认定成立后，按对应工作项目的正常任务金额×主动倍率结算。</t>
        </is>
      </c>
      <c r="B5" s="33" t="n"/>
      <c r="C5" s="33" t="n"/>
      <c r="D5" s="33" t="n"/>
      <c r="E5" s="33" t="n"/>
    </row>
    <row r="6" ht="26" customHeight="1" s="1">
      <c r="A6" s="35" t="inlineStr">
        <is>
          <t>一、案例等级</t>
        </is>
      </c>
      <c r="B6" s="33" t="n"/>
      <c r="C6" s="33" t="n"/>
      <c r="D6" s="33" t="n"/>
      <c r="E6" s="33" t="n"/>
    </row>
    <row r="7" ht="30" customHeight="1" s="1">
      <c r="A7" s="36" t="inlineStr">
        <is>
          <t>评价档位</t>
        </is>
      </c>
      <c r="B7" s="36" t="inlineStr">
        <is>
          <t>认定标准</t>
        </is>
      </c>
      <c r="C7" s="36" t="inlineStr">
        <is>
          <t>行为层次</t>
        </is>
      </c>
      <c r="D7" s="36" t="inlineStr">
        <is>
          <t>必要记录</t>
        </is>
      </c>
      <c r="E7" s="36" t="inlineStr">
        <is>
          <t>验收及计费说明</t>
        </is>
      </c>
    </row>
    <row r="8" ht="78" customHeight="1" s="1">
      <c r="A8" s="37" t="inlineStr">
        <is>
          <t>有效发现</t>
        </is>
      </c>
      <c r="B8" s="37" t="inlineStr">
        <is>
          <t>员工自主发现真实问题，提供证据及可执行建议；问题经确认，建议被采纳。</t>
        </is>
      </c>
      <c r="C8" s="88" t="inlineStr">
        <is>
          <t>第一层</t>
        </is>
      </c>
      <c r="D8" s="37" t="inlineStr">
        <is>
          <t>问题对象、发现时间、事实或数据依据、建议措施、确认及采纳记录。</t>
        </is>
      </c>
      <c r="E8" s="37" t="inlineStr">
        <is>
          <t>尚未实施也可认定本层；只指出问题、无可执行建议，或未获确认采纳的，暂不认定。认定为"有效发现"只确认主动来源，不代表可以结算；完成对应工作及必要核验后，才按倍率计费。</t>
        </is>
      </c>
    </row>
    <row r="9" ht="78" customHeight="1" s="1">
      <c r="A9" s="37" t="inlineStr">
        <is>
          <t>推动解决</t>
        </is>
      </c>
      <c r="B9" s="37" t="inlineStr">
        <is>
          <t>在有效发现基础上，完成职责范围内的处理、协调及结果核验。</t>
        </is>
      </c>
      <c r="C9" s="88" t="inlineStr">
        <is>
          <t>第二层</t>
        </is>
      </c>
      <c r="D9" s="37" t="inlineStr">
        <is>
          <t>关联任务编号、处理措施、授权或批准记录（适用时）、执行及核验结果。</t>
        </is>
      </c>
      <c r="E9" s="37" t="inlineStr">
        <is>
          <t>纠错以恢复正确状态为准，不强求销售增长；协调任务按事先约定的职责节点验收，纯转发或催办不够。</t>
        </is>
      </c>
    </row>
    <row r="10" ht="78" customHeight="1" s="1">
      <c r="A10" s="37" t="inlineStr">
        <is>
          <t>形成持续改善</t>
        </is>
      </c>
      <c r="B10" s="37" t="inlineStr">
        <is>
          <t>在解决问题基础上，形成可复用规则、预警或流程，减少同类问题再次发生，并有验证记录。</t>
        </is>
      </c>
      <c r="C10" s="88" t="inlineStr">
        <is>
          <t>第三层</t>
        </is>
      </c>
      <c r="D10" s="37" t="inlineStr">
        <is>
          <t>规则或流程版本、适用范围、落实记录、验证方法及结果。</t>
        </is>
      </c>
      <c r="E10" s="37" t="inlineStr">
        <is>
          <t>只有建议或文档、尚未实施验证的，不认定本层；同一问题的发现、解决和持续改善取最深层次，不逐层累加。</t>
        </is>
      </c>
    </row>
    <row r="11">
      <c r="A11" s="33" t="n"/>
      <c r="B11" s="33" t="n"/>
      <c r="C11" s="33" t="n"/>
      <c r="D11" s="33" t="n"/>
      <c r="E11" s="33" t="n"/>
    </row>
    <row r="12" ht="26" customHeight="1" s="1">
      <c r="A12" s="35" t="inlineStr">
        <is>
          <t>二、主动贡献认定边界</t>
        </is>
      </c>
      <c r="B12" s="33" t="n"/>
      <c r="C12" s="33" t="n"/>
      <c r="D12" s="33" t="n"/>
      <c r="E12" s="33" t="n"/>
    </row>
    <row r="13" ht="30" customHeight="1" s="1">
      <c r="A13" s="36" t="inlineStr">
        <is>
          <t>场景</t>
        </is>
      </c>
      <c r="B13" s="36" t="inlineStr">
        <is>
          <t>判断规则</t>
        </is>
      </c>
      <c r="C13" s="36" t="inlineStr">
        <is>
          <t>主动金额</t>
        </is>
      </c>
      <c r="D13" s="36" t="inlineStr">
        <is>
          <t>必要记录</t>
        </is>
      </c>
      <c r="E13" s="36" t="inlineStr">
        <is>
          <t>任务金额处理</t>
        </is>
      </c>
    </row>
    <row r="14" ht="78" customHeight="1" s="1">
      <c r="A14" s="37" t="inlineStr">
        <is>
          <t>系统或负责人已下发</t>
        </is>
      </c>
      <c r="B14" s="37" t="inlineStr">
        <is>
          <t>问题及处理要求已明确，员工按任务要求完成。</t>
        </is>
      </c>
      <c r="C14" s="39" t="inlineStr">
        <is>
          <t>不计</t>
        </is>
      </c>
      <c r="D14" s="37" t="inlineStr">
        <is>
          <t>任务来源、下发时间及执行记录。</t>
        </is>
      </c>
      <c r="E14" s="37" t="inlineStr">
        <is>
          <t>对应任务通过验收后正常计费；主动领取既有任务不等于自主发现。</t>
        </is>
      </c>
    </row>
    <row r="15" ht="78" customHeight="1" s="1">
      <c r="A15" s="37" t="inlineStr">
        <is>
          <t>例行巡检与常规处理</t>
        </is>
      </c>
      <c r="B15" s="37" t="inlineStr">
        <is>
          <t>巡检本属职责，发现常规问题并按既定标准处理。</t>
        </is>
      </c>
      <c r="C15" s="39" t="inlineStr">
        <is>
          <t>通常不计</t>
        </is>
      </c>
      <c r="D15" s="37" t="inlineStr">
        <is>
          <t>巡检职责及处理标准；若有额外贡献，提交对应证据。</t>
        </is>
      </c>
      <c r="E15" s="37" t="inlineStr">
        <is>
          <t>常规职责内的工作仍属正常履职，不因员工自行分析就变成主动改善。另有自主发现、独立发起的改善，须单独确认范围；同一交付不同时计任务金额与主动金额。</t>
        </is>
      </c>
    </row>
    <row r="16" ht="78" customHeight="1" s="1">
      <c r="A16" s="37" t="inlineStr">
        <is>
          <t>独立发现有效问题</t>
        </is>
      </c>
      <c r="B16" s="37" t="inlineStr">
        <is>
          <t>系统或负责人尚未指出，员工独立发现并提出可执行建议。</t>
        </is>
      </c>
      <c r="C16" s="39" t="inlineStr">
        <is>
          <t>可认定</t>
        </is>
      </c>
      <c r="D16" s="37" t="inlineStr">
        <is>
          <t>发现时间、问题证据、建议及确认采纳记录。</t>
        </is>
      </c>
      <c r="E16" s="37" t="inlineStr">
        <is>
          <t>自主发现并发起的改善按正常任务金额×主动倍率结算，不再领取对应执行工作的任务金额。</t>
        </is>
      </c>
    </row>
    <row r="17" ht="78" customHeight="1" s="1">
      <c r="A17" s="37" t="inlineStr">
        <is>
          <t>先提建议、批准后执行</t>
        </is>
      </c>
      <c r="B17" s="37" t="inlineStr">
        <is>
          <t>员工先发现和建议，涉及权限的操作经批准后实施。</t>
        </is>
      </c>
      <c r="C17" s="39" t="inlineStr">
        <is>
          <t>可认定</t>
        </is>
      </c>
      <c r="D17" s="37" t="inlineStr">
        <is>
          <t>发现及建议时间、批准记录、授权范围、执行核验结果。</t>
        </is>
      </c>
      <c r="E17" s="37" t="inlineStr">
        <is>
          <t>员工先提出问题及建议，再获批准并建立任务，仍属主动改善；按主动倍率计算，不计对应任务金额。</t>
        </is>
      </c>
    </row>
    <row r="18" ht="140" customHeight="1" s="1">
      <c r="A18" s="37" t="inlineStr">
        <is>
          <t>本人责任纠错</t>
        </is>
      </c>
      <c r="B18" s="37" t="inlineStr">
        <is>
          <t>不论产品归属，修复本人操作、编写或应核验事项疏漏造成的错误，均不另计任务报酬、主动加成或成果奖励。按操作当时确认的资料与执行记录判责，负责人后续更新或更正资料须区分处理；详见“优化登记与复盘规则”。</t>
        </is>
      </c>
      <c r="C18" s="39" t="inlineStr">
        <is>
          <t>不计</t>
        </is>
      </c>
      <c r="D18" s="37" t="inlineStr">
        <is>
          <t>原操作及返工记录。</t>
        </is>
      </c>
      <c r="E18" s="37" t="inlineStr">
        <is>
          <t>作为原任务返工，不新增任务金额；原任务最终按验收和时效规则处理。</t>
        </is>
      </c>
    </row>
    <row r="19" ht="78" customHeight="1" s="1">
      <c r="A19" s="37" t="inlineStr">
        <is>
          <t>无依据或重复刷操作</t>
        </is>
      </c>
      <c r="B19" s="37" t="inlineStr">
        <is>
          <t>无依据调整、反复修改或人为拆分同一问题。</t>
        </is>
      </c>
      <c r="C19" s="39" t="inlineStr">
        <is>
          <t>不计</t>
        </is>
      </c>
      <c r="D19" s="37" t="inlineStr">
        <is>
          <t>修改日志、问题及方案记录。</t>
        </is>
      </c>
      <c r="E19" s="37" t="inlineStr">
        <is>
          <t>无独立有效交付的操作不另计任务金额；同一目标只登记一个主任务。</t>
        </is>
      </c>
    </row>
    <row r="20" ht="78" customHeight="1" s="1">
      <c r="A20" s="37" t="inlineStr">
        <is>
          <t>超出授权范围</t>
        </is>
      </c>
      <c r="B20" s="37" t="inlineStr">
        <is>
          <t>未在规定权限内操作，或应审批而未经批准。</t>
        </is>
      </c>
      <c r="C20" s="39" t="inlineStr">
        <is>
          <t>不计</t>
        </is>
      </c>
      <c r="D20" s="37" t="inlineStr">
        <is>
          <t>授权范围、审批及实际操作记录。</t>
        </is>
      </c>
      <c r="E20" s="37" t="inlineStr">
        <is>
          <t>按公司既有权限和事件处理规则审核；不因表面结果改善而认定主动贡献。</t>
        </is>
      </c>
    </row>
    <row r="21" ht="78" customHeight="1" s="1">
      <c r="A21" s="37" t="inlineStr">
        <is>
          <t>系统自动完成</t>
        </is>
      </c>
      <c r="B21" s="37" t="inlineStr">
        <is>
          <t>系统已自动发现并处理，员工没有独立判断、建议或有效处置贡献。</t>
        </is>
      </c>
      <c r="C21" s="39" t="inlineStr">
        <is>
          <t>不计</t>
        </is>
      </c>
      <c r="D21" s="37" t="inlineStr">
        <is>
          <t>自动执行日志、人工参与记录。</t>
        </is>
      </c>
      <c r="E21" s="37" t="inlineStr">
        <is>
          <t>纯自动步骤不计人工任务金额；有实质人工判断或处置的，仅对独立贡献按上述条件认定。</t>
        </is>
      </c>
    </row>
    <row r="22">
      <c r="A22" s="33" t="n"/>
      <c r="B22" s="33" t="n"/>
      <c r="C22" s="33" t="n"/>
      <c r="D22" s="33" t="n"/>
      <c r="E22" s="33" t="n"/>
    </row>
    <row r="23" ht="26" customHeight="1" s="1">
      <c r="A23" s="35" t="inlineStr">
        <is>
          <t>三、四类常见主动工作的归属</t>
        </is>
      </c>
      <c r="B23" s="33" t="n"/>
      <c r="C23" s="33" t="n"/>
      <c r="D23" s="33" t="n"/>
      <c r="E23" s="33" t="n"/>
    </row>
    <row r="24" ht="30" customHeight="1" s="1">
      <c r="A24" s="36" t="inlineStr">
        <is>
          <t>主动工作</t>
        </is>
      </c>
      <c r="B24" s="36" t="inlineStr">
        <is>
          <t>对应任务类型</t>
        </is>
      </c>
      <c r="C24" s="36" t="inlineStr">
        <is>
          <t>任务金额</t>
        </is>
      </c>
      <c r="D24" s="36" t="inlineStr">
        <is>
          <t>主动改善评价依据</t>
        </is>
      </c>
      <c r="E24" s="36" t="inlineStr">
        <is>
          <t>记录及防重复要求</t>
        </is>
      </c>
    </row>
    <row r="25" ht="78" customHeight="1" s="1">
      <c r="A25" s="37" t="inlineStr">
        <is>
          <t>主动发现价格不对并调整</t>
        </is>
      </c>
      <c r="B25" s="37" t="inlineStr">
        <is>
          <t>价格调整相关主动改善</t>
        </is>
      </c>
      <c r="C25" s="39" t="inlineStr">
        <is>
          <t>不计任务金额</t>
        </is>
      </c>
      <c r="D25" s="37" t="inlineStr">
        <is>
          <t>依据充分，调整合理，核验价格及适用字段生效结果。</t>
        </is>
      </c>
      <c r="E25" s="37" t="inlineStr">
        <is>
          <t>按正常任务金额×主动倍率计算。对应执行及复盘不再另计任务金额；审批或补建任务不改变自主发起来源。</t>
        </is>
      </c>
    </row>
    <row r="26" ht="78" customHeight="1" s="1">
      <c r="A26" s="37" t="inlineStr">
        <is>
          <t>主动发现Listing问题并修正</t>
        </is>
      </c>
      <c r="B26" s="37" t="inlineStr">
        <is>
          <t>Listing纠错／优化；或独立图片维护、A+内容增删修改、视频上传与信息维护</t>
        </is>
      </c>
      <c r="C26" s="39" t="inlineStr">
        <is>
          <t>不计任务金额</t>
        </is>
      </c>
      <c r="D26" s="37" t="inlineStr">
        <is>
          <t>指出具体问题，提供依据，完成有效修改及展示核验。</t>
        </is>
      </c>
      <c r="E26" s="37" t="inlineStr">
        <is>
          <t>按正常任务金额×主动倍率计算。对应执行及复盘不再另计任务金额；审批或补建任务不改变自主发起来源。</t>
        </is>
      </c>
    </row>
    <row r="27" ht="78" customHeight="1" s="1">
      <c r="A27" s="37" t="inlineStr">
        <is>
          <t>主动发现库存冗余并处理</t>
        </is>
      </c>
      <c r="B27" s="37" t="inlineStr">
        <is>
          <t>库存冗余处理</t>
        </is>
      </c>
      <c r="C27" s="39" t="inlineStr">
        <is>
          <t>不计任务金额</t>
        </is>
      </c>
      <c r="D27" s="37" t="inlineStr">
        <is>
          <t>有库存及问题依据，提出可执行处置建议并推动落实，记录约定阶段结果。</t>
        </is>
      </c>
      <c r="E27" s="37" t="inlineStr">
        <is>
          <t>按正常任务金额×主动倍率计算。对应执行及复盘不再另计任务金额；审批或补建任务不改变自主发起来源。</t>
        </is>
      </c>
    </row>
    <row r="28" ht="78" customHeight="1" s="1">
      <c r="A28" s="37" t="inlineStr">
        <is>
          <t>主动发现广告问题并优化</t>
        </is>
      </c>
      <c r="B28" s="37" t="inlineStr">
        <is>
          <t>员工自主发起的Campaign优化</t>
        </is>
      </c>
      <c r="C28" s="39" t="inlineStr">
        <is>
          <t>不计任务金额</t>
        </is>
      </c>
      <c r="D28" s="37" t="inlineStr">
        <is>
          <t>有数据及判断依据，明确目标和观察期；执行后完成必要复查。</t>
        </is>
      </c>
      <c r="E28" s="37" t="inlineStr">
        <is>
          <t>按正常任务金额×主动倍率计算。对应执行及复盘不再另计任务金额；审批或补建任务不改变自主发起来源。</t>
        </is>
      </c>
    </row>
    <row r="29">
      <c r="A29" s="33" t="n"/>
      <c r="B29" s="33" t="n"/>
      <c r="C29" s="33" t="n"/>
      <c r="D29" s="33" t="n"/>
      <c r="E29" s="33" t="n"/>
    </row>
    <row r="30" ht="26" customHeight="1" s="1">
      <c r="A30" s="35" t="inlineStr">
        <is>
          <t>四、月度结算与协作规则</t>
        </is>
      </c>
      <c r="B30" s="33" t="n"/>
      <c r="C30" s="33" t="n"/>
      <c r="D30" s="33" t="n"/>
      <c r="E30" s="33" t="n"/>
    </row>
    <row r="31" ht="30" customHeight="1" s="1">
      <c r="A31" s="36" t="inlineStr">
        <is>
          <t>规则</t>
        </is>
      </c>
      <c r="B31" s="36" t="inlineStr">
        <is>
          <t>执行标准</t>
        </is>
      </c>
      <c r="C31" s="36" t="inlineStr">
        <is>
          <t>金额／口径</t>
        </is>
      </c>
      <c r="D31" s="36" t="inlineStr">
        <is>
          <t>必要记录</t>
        </is>
      </c>
      <c r="E31" s="36" t="inlineStr">
        <is>
          <t>结算说明</t>
        </is>
      </c>
    </row>
    <row r="32" ht="78" customHeight="1" s="1">
      <c r="A32" s="37" t="inlineStr">
        <is>
          <t>月度结算公式</t>
        </is>
      </c>
      <c r="B32" s="37" t="inlineStr">
        <is>
          <t>正常任务金额按基础金额及难度计算，主动任务再按适用主动倍率计算，每项任务只结算一次。月度任务绩效＝OA已验收任务金额＋Streamlit已验收主动任务金额＋当月已确认且未重复结算的成果奖励；升级只发差额。详见“改善成果奖励”。</t>
        </is>
      </c>
      <c r="C32" s="40" t="inlineStr">
        <is>
          <t>见公式</t>
        </is>
      </c>
      <c r="D32" s="37" t="inlineStr">
        <is>
          <t>当月全部已验收任务的最终金额汇总。</t>
        </is>
      </c>
      <c r="E32" s="37" t="inlineStr">
        <is>
          <t>本表列示任务绩效金额，不包含固定工资；不再乘5或重复领取正常金额。其他绩效制度按公司既定规定执行。</t>
        </is>
      </c>
    </row>
    <row r="33" ht="78" customHeight="1" s="1">
      <c r="A33" s="37" t="inlineStr">
        <is>
          <t>同一任务不重复计费</t>
        </is>
      </c>
      <c r="B33" s="37" t="inlineStr">
        <is>
          <t>同一问题、同一目标视为一个案例，不按动作、字段、消息或提交次数拆分。</t>
        </is>
      </c>
      <c r="C33" s="39" t="inlineStr">
        <is>
          <t>不重复</t>
        </is>
      </c>
      <c r="D33" s="37" t="inlineStr">
        <is>
          <t>唯一案例编号、问题对象、改善目标及关联任务编号。</t>
        </is>
      </c>
      <c r="E33" s="37" t="inlineStr">
        <is>
          <t>按各项目规定的计费单位去重。Buy Box按站点及ASIN分别计费，不因共用证据或Case合并不同ASIN的金额；同一站点同一ASIN同一异常不重复计费。其他项目按对应规则处理。</t>
        </is>
      </c>
    </row>
    <row r="34" ht="78" customHeight="1" s="1">
      <c r="A34" s="37" t="inlineStr">
        <is>
          <t>跨月任务</t>
        </is>
      </c>
      <c r="B34" s="37" t="inlineStr">
        <is>
          <t>跨月任务在验收完成的月份计入当月金额。</t>
        </is>
      </c>
      <c r="C34" s="39" t="inlineStr">
        <is>
          <t>按验收月</t>
        </is>
      </c>
      <c r="D34" s="37" t="inlineStr">
        <is>
          <t>验收日期、结算月及任务编号。</t>
        </is>
      </c>
      <c r="E34" s="37" t="inlineStr">
        <is>
          <t>未验收任务不计入当月；待验收任务于通过验收月份计费。</t>
        </is>
      </c>
    </row>
    <row r="35" ht="78" customHeight="1" s="1">
      <c r="A35" s="37" t="inlineStr">
        <is>
          <t>多人合作</t>
        </is>
      </c>
      <c r="B35" s="37" t="inlineStr">
        <is>
          <t>按实际发现、分析、执行、协调及验证贡献，在该任务最终金额内分配个人份额。</t>
        </is>
      </c>
      <c r="C35" s="39" t="inlineStr">
        <is>
          <t>总金额不增</t>
        </is>
      </c>
      <c r="D35" s="37" t="inlineStr">
        <is>
          <t>各人贡献、个人分配金额及负责人确认记录。</t>
        </is>
      </c>
      <c r="E35" s="37" t="inlineStr">
        <is>
          <t>参与者金额之和不得超过该任务最终金额；后续追加人员只分配新增工作量对应的份额，保留原已认定贡献。</t>
        </is>
      </c>
    </row>
    <row r="36" ht="78" customHeight="1" s="1">
      <c r="A36" s="37" t="inlineStr">
        <is>
          <t>记录与验收</t>
        </is>
      </c>
      <c r="B36" s="37" t="inlineStr">
        <is>
          <t>现有页面保留案例编号、人员及贡献、问题和建议、证据、关联任务、权限记录、验收结论、等级及金额。</t>
        </is>
      </c>
      <c r="C36" s="39" t="inlineStr">
        <is>
          <t>统一口径</t>
        </is>
      </c>
      <c r="D36" s="37" t="inlineStr">
        <is>
          <t>记录发起来源、原始指令或员工首次提议时间、审批记录及关联任务。有效发现核验采纳，推动解决核验结果，持续改善核验落实。</t>
        </is>
      </c>
      <c r="E36" s="37" t="inlineStr">
        <is>
          <t>负责人按本页标准认定；原因不按文字长度增加金额，证据可为日志、前后对照、截图、处理单或验证记录。</t>
        </is>
      </c>
    </row>
    <row r="37" ht="78" customHeight="1" s="1">
      <c r="A37" s="37" t="inlineStr">
        <is>
          <t>0元关联入口</t>
        </is>
      </c>
      <c r="B37" s="37" t="inlineStr">
        <is>
          <t>主动价格优化及VOC关联入口仅作记录和追溯；Brand Store不再单列主动优化0元项目，自主发起的店铺改善直接登记主动改善案例。计费按发起来源，不通过关联主任务重复领取任务金额。</t>
        </is>
      </c>
      <c r="C37" s="39" t="inlineStr">
        <is>
          <t>仅防重计</t>
        </is>
      </c>
      <c r="D37" s="37" t="inlineStr">
        <is>
          <t>实际主任务编号及主动改善案例编号。</t>
        </is>
      </c>
      <c r="E37" s="37" t="inlineStr">
        <is>
          <t>负责人安排的工作计任务金额；自主发起改善计主动金额，二者互斥。已计费后发现来源归属错误，先冲销原路径再按正确路径结算，不能两边保留。</t>
        </is>
      </c>
    </row>
    <row r="38">
      <c r="A38" s="33" t="n"/>
      <c r="B38" s="33" t="n"/>
      <c r="C38" s="33" t="n"/>
      <c r="D38" s="33" t="n"/>
      <c r="E38" s="33" t="n"/>
    </row>
  </sheetData>
  <dataValidations count="1">
    <dataValidation sqref="C8:C10" showDropDown="0" showInputMessage="0" showErrorMessage="0" allowBlank="0" type="decimal" operator="between">
      <formula1>0</formula1>
      <formula2>10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2:H251"/>
  <sheetViews>
    <sheetView showGridLines="0" workbookViewId="0">
      <pane ySplit="7" topLeftCell="A8" activePane="bottomLeft" state="frozen"/>
      <selection activeCell="A1" sqref="A1"/>
    </sheetView>
  </sheetViews>
  <sheetFormatPr baseColWidth="8" defaultColWidth="9" defaultRowHeight="13.5"/>
  <cols>
    <col width="18" customWidth="1" style="1" min="1" max="1"/>
    <col width="42" customWidth="1" style="1" min="2" max="2"/>
    <col width="18" customWidth="1" style="1" min="3" max="3"/>
    <col width="20" customWidth="1" style="1" min="5" max="5"/>
    <col width="20" customWidth="1" style="1" min="6" max="6"/>
    <col width="52" customWidth="1" style="1" min="7" max="7"/>
    <col width="65" customWidth="1" style="1" min="8" max="8"/>
  </cols>
  <sheetData>
    <row r="2" ht="25" customHeight="1" s="1">
      <c r="A2" s="6" t="inlineStr">
        <is>
          <t>已确认的上架、图片、A+和视频场景</t>
        </is>
      </c>
    </row>
    <row r="3" ht="25" customHeight="1" s="1">
      <c r="A3" s="7" t="inlineStr">
        <is>
          <t>示例按当前已确认金额展示；黄色C、D列为本例基础金额与系数，E列自动计算。修改数量或范围时，应回“任务评分”按等级重新选择金额。</t>
        </is>
      </c>
    </row>
    <row r="4" ht="25" customHeight="1" s="1">
      <c r="A4" s="7" t="inlineStr">
        <is>
          <t>本页普通任务金额示例以负责人安排为前提；自主发起按正常任务金额×主动倍率计算（见"任务评分"主动执行倍率规则），同一工作只计一次。</t>
        </is>
      </c>
    </row>
    <row r="7" ht="32" customHeight="1" s="1">
      <c r="A7" s="8" t="inlineStr">
        <is>
          <t>工作类型</t>
        </is>
      </c>
      <c r="B7" s="8" t="inlineStr">
        <is>
          <t>实际场景</t>
        </is>
      </c>
      <c r="C7" s="8" t="inlineStr">
        <is>
          <t>基础金额</t>
        </is>
      </c>
      <c r="D7" s="8" t="inlineStr">
        <is>
          <t>难度系数</t>
        </is>
      </c>
      <c r="E7" s="8" t="inlineStr">
        <is>
          <t>任务金额</t>
        </is>
      </c>
      <c r="F7" s="8" t="inlineStr">
        <is>
          <t>工作范围</t>
        </is>
      </c>
      <c r="G7" s="8" t="inlineStr">
        <is>
          <t>基础金额选档依据</t>
        </is>
      </c>
      <c r="H7" s="8" t="inlineStr">
        <is>
          <t>难度及计费说明</t>
        </is>
      </c>
    </row>
    <row r="8" ht="95" customHeight="1" s="1">
      <c r="A8" s="9" t="inlineStr">
        <is>
          <t>Listing上架</t>
        </is>
      </c>
      <c r="B8" s="9" t="inlineStr">
        <is>
          <t>1个独立SKU上架</t>
        </is>
      </c>
      <c r="C8" s="113" t="n">
        <v>25</v>
      </c>
      <c r="D8" s="82" t="n">
        <v>1</v>
      </c>
      <c r="E8" s="115">
        <f>ROUND(C8*D8,2)</f>
        <v/>
      </c>
      <c r="F8" s="9" t="inlineStr">
        <is>
          <t>无变体关系操作</t>
        </is>
      </c>
      <c r="G8" s="9" t="inlineStr">
        <is>
          <t>1个SKU：25元</t>
        </is>
      </c>
      <c r="H8" s="9" t="inlineStr">
        <is>
          <t>不新增或调整任何父子关系：1.0。</t>
        </is>
      </c>
    </row>
    <row r="9" ht="95" customHeight="1" s="1">
      <c r="A9" s="9" t="inlineStr">
        <is>
          <t>Listing上架</t>
        </is>
      </c>
      <c r="B9" s="9" t="inlineStr">
        <is>
          <t>5个独立SKU上架</t>
        </is>
      </c>
      <c r="C9" s="113" t="n">
        <v>40</v>
      </c>
      <c r="D9" s="82" t="n">
        <v>1</v>
      </c>
      <c r="E9" s="115">
        <f>ROUND(C9*D9,2)</f>
        <v/>
      </c>
      <c r="F9" s="9" t="inlineStr">
        <is>
          <t>5个SKU均独立上架，不建立或调整父子关系</t>
        </is>
      </c>
      <c r="G9" s="9" t="inlineStr">
        <is>
          <t>2个及以上SKU共用一张上架表：40元</t>
        </is>
      </c>
      <c r="H9" s="9" t="inlineStr">
        <is>
          <t>不新增或调整任何父子关系：1.0。</t>
        </is>
      </c>
    </row>
    <row r="10" ht="95" customHeight="1" s="1">
      <c r="A10" s="9" t="inlineStr">
        <is>
          <t>Listing上架</t>
        </is>
      </c>
      <c r="B10" s="9" t="inlineStr">
        <is>
          <t>5个SKU组成一个变体</t>
        </is>
      </c>
      <c r="C10" s="113" t="n">
        <v>40</v>
      </c>
      <c r="D10" s="82" t="n">
        <v>1.3</v>
      </c>
      <c r="E10" s="115">
        <f>ROUND(C10*D10,2)</f>
        <v/>
      </c>
      <c r="F10" s="9" t="inlineStr">
        <is>
          <t>5个SKU全部组成或加入同一个父体下的变体组</t>
        </is>
      </c>
      <c r="G10" s="9" t="inlineStr">
        <is>
          <t>2个及以上SKU共用一张上架表：40元</t>
        </is>
      </c>
      <c r="H10" s="9" t="inlineStr">
        <is>
          <t>本次需处理关系的不同父体数为1：1.3；新建或已有父体均可，不另计变体关系维护。</t>
        </is>
      </c>
    </row>
    <row r="11" ht="95" customHeight="1" s="1">
      <c r="A11" s="9" t="inlineStr">
        <is>
          <t>Listing上架</t>
        </is>
      </c>
      <c r="B11" s="9" t="inlineStr">
        <is>
          <t>5个SKU加入不同变体</t>
        </is>
      </c>
      <c r="C11" s="113" t="n">
        <v>40</v>
      </c>
      <c r="D11" s="82" t="n">
        <v>1.6</v>
      </c>
      <c r="E11" s="115">
        <f>ROUND(C11*D11,2)</f>
        <v/>
      </c>
      <c r="F11" s="9" t="inlineStr">
        <is>
          <t>5个SKU分别加入两个及以上已明确的目标变体组</t>
        </is>
      </c>
      <c r="G11" s="9" t="inlineStr">
        <is>
          <t>2个及以上SKU共用一张上架表：40元</t>
        </is>
      </c>
      <c r="H11" s="9" t="inlineStr">
        <is>
          <t>本次需处理关系的不同父体数为2个及以上：1.6；不另计变体关系维护。</t>
        </is>
      </c>
    </row>
    <row r="12" ht="95" customHeight="1" s="1">
      <c r="A12" s="9" t="inlineStr">
        <is>
          <t>图片上传</t>
        </is>
      </c>
      <c r="B12" s="9" t="inlineStr">
        <is>
          <t>1个SKU各用独立图片</t>
        </is>
      </c>
      <c r="C12" s="113" t="n">
        <v>10</v>
      </c>
      <c r="D12" s="82" t="n">
        <v>1</v>
      </c>
      <c r="E12" s="115">
        <f>ROUND(C12*D12,2)</f>
        <v/>
      </c>
      <c r="F12" s="9" t="inlineStr">
        <is>
          <t>1个SKU有可用图片</t>
        </is>
      </c>
      <c r="G12" s="9" t="inlineStr">
        <is>
          <t>每SKU10元</t>
        </is>
      </c>
      <c r="H12" s="9" t="inlineStr">
        <is>
          <t>OA有可用图片，上传并核验。</t>
        </is>
      </c>
    </row>
    <row r="13" ht="95" customHeight="1" s="1">
      <c r="A13" s="9" t="inlineStr">
        <is>
          <t>图片上传</t>
        </is>
      </c>
      <c r="B13" s="9" t="inlineStr">
        <is>
          <t>5个SKU各用独立图片</t>
        </is>
      </c>
      <c r="C13" s="113" t="n">
        <v>50</v>
      </c>
      <c r="D13" s="82" t="n">
        <v>1</v>
      </c>
      <c r="E13" s="115">
        <f>ROUND(C13*D13,2)</f>
        <v/>
      </c>
      <c r="F13" s="9" t="inlineStr">
        <is>
          <t>5个SKU分别上传自己的图片</t>
        </is>
      </c>
      <c r="G13" s="9" t="inlineStr">
        <is>
          <t>5个SKU×10元＝50元</t>
        </is>
      </c>
      <c r="H13" s="9" t="inlineStr">
        <is>
          <t>每个SKU独立计费，不按批量打折。</t>
        </is>
      </c>
    </row>
    <row r="14" ht="95" customHeight="1" s="1">
      <c r="A14" s="9" t="inlineStr">
        <is>
          <t>图片上传</t>
        </is>
      </c>
      <c r="B14" s="9" t="inlineStr">
        <is>
          <t>10个SKU各用独立图片</t>
        </is>
      </c>
      <c r="C14" s="113" t="n">
        <v>100</v>
      </c>
      <c r="D14" s="82" t="n">
        <v>1</v>
      </c>
      <c r="E14" s="115">
        <f>ROUND(C14*D14,2)</f>
        <v/>
      </c>
      <c r="F14" s="9" t="inlineStr">
        <is>
          <t>10个SKU分别上传自己的图片</t>
        </is>
      </c>
      <c r="G14" s="9" t="inlineStr">
        <is>
          <t>10个SKU×10元＝100元</t>
        </is>
      </c>
      <c r="H14" s="9" t="inlineStr">
        <is>
          <t>若10个SKU均需向产品负责人取图：100元×1.3＝130元。</t>
        </is>
      </c>
    </row>
    <row r="15" ht="95" customHeight="1" s="1">
      <c r="A15" s="9" t="inlineStr">
        <is>
          <t>A+应用</t>
        </is>
      </c>
      <c r="B15" s="9" t="inlineStr">
        <is>
          <t>加入原有A+</t>
        </is>
      </c>
      <c r="C15" s="113" t="n">
        <v>25</v>
      </c>
      <c r="D15" s="82" t="n">
        <v>1</v>
      </c>
      <c r="E15" s="115">
        <f>ROUND(C15*D15,2)</f>
        <v/>
      </c>
      <c r="F15" s="9" t="inlineStr">
        <is>
          <t>5个SKU加入同一份已有A+</t>
        </is>
      </c>
      <c r="G15" s="9" t="inlineStr">
        <is>
          <t>5个SKU×5元＝25元</t>
        </is>
      </c>
      <c r="H15" s="9" t="inlineStr">
        <is>
          <t>已有A+按SKU计费。</t>
        </is>
      </c>
    </row>
    <row r="16" ht="95" customHeight="1" s="1">
      <c r="A16" s="9" t="inlineStr">
        <is>
          <t>A+制作</t>
        </is>
      </c>
      <c r="B16" s="9" t="inlineStr">
        <is>
          <t>多个新产品共用新A+</t>
        </is>
      </c>
      <c r="C16" s="113" t="n">
        <v>75</v>
      </c>
      <c r="D16" s="82" t="n">
        <v>1</v>
      </c>
      <c r="E16" s="115">
        <f>ROUND(C16*D16,2)</f>
        <v/>
      </c>
      <c r="F16" s="9" t="inlineStr">
        <is>
          <t>5个SKU共用1份新A+</t>
        </is>
      </c>
      <c r="G16" s="9" t="inlineStr">
        <is>
          <t>1份×75元＝75元</t>
        </is>
      </c>
      <c r="H16" s="9" t="inlineStr">
        <is>
          <t>含首次绑定；不再加25元绑定金额。</t>
        </is>
      </c>
    </row>
    <row r="17" ht="95" customHeight="1" s="1">
      <c r="A17" s="9" t="inlineStr">
        <is>
          <t>A+制作</t>
        </is>
      </c>
      <c r="B17" s="9" t="inlineStr">
        <is>
          <t>每个ASIN分别制作不同A+</t>
        </is>
      </c>
      <c r="C17" s="113" t="n">
        <v>375</v>
      </c>
      <c r="D17" s="82" t="n">
        <v>1</v>
      </c>
      <c r="E17" s="115">
        <f>ROUND(C17*D17,2)</f>
        <v/>
      </c>
      <c r="F17" s="9" t="inlineStr">
        <is>
          <t>5个SKU分别制作5份新A+</t>
        </is>
      </c>
      <c r="G17" s="9" t="inlineStr">
        <is>
          <t>5份×75元＝375元</t>
        </is>
      </c>
      <c r="H17" s="9" t="inlineStr">
        <is>
          <t>每份独立内容75元。</t>
        </is>
      </c>
    </row>
    <row r="18" ht="95" customHeight="1" s="1">
      <c r="A18" s="9" t="inlineStr">
        <is>
          <t>视频绑定</t>
        </is>
      </c>
      <c r="B18" s="9" t="inlineStr">
        <is>
          <t>ASIN加入原有视频</t>
        </is>
      </c>
      <c r="C18" s="113" t="n">
        <v>10</v>
      </c>
      <c r="D18" s="82" t="n">
        <v>1</v>
      </c>
      <c r="E18" s="115">
        <f>ROUND(C18*D18,2)</f>
        <v/>
      </c>
      <c r="F18" s="9" t="inlineStr">
        <is>
          <t>5个SKU加入同一已有视频</t>
        </is>
      </c>
      <c r="G18" s="9" t="inlineStr">
        <is>
          <t>同视频2个及以上SKU：10元</t>
        </is>
      </c>
      <c r="H18" s="9" t="inlineStr">
        <is>
          <t>若加入5个不同已有视频，则25元。</t>
        </is>
      </c>
    </row>
    <row r="19" ht="95" customHeight="1" s="1">
      <c r="A19" s="9" t="inlineStr">
        <is>
          <t>视频上传</t>
        </is>
      </c>
      <c r="B19" s="9" t="inlineStr">
        <is>
          <t>多个产品共用新视频</t>
        </is>
      </c>
      <c r="C19" s="113" t="n">
        <v>15</v>
      </c>
      <c r="D19" s="82" t="n">
        <v>1</v>
      </c>
      <c r="E19" s="115">
        <f>ROUND(C19*D19,2)</f>
        <v/>
      </c>
      <c r="F19" s="9" t="inlineStr">
        <is>
          <t>5个SKU共用1个新上传视频</t>
        </is>
      </c>
      <c r="G19" s="9" t="inlineStr">
        <is>
          <t>1个视频×15元＝15元</t>
        </is>
      </c>
      <c r="H19" s="9" t="inlineStr">
        <is>
          <t>含首次SKU绑定，不另加绑定金额。</t>
        </is>
      </c>
    </row>
    <row r="20" ht="95" customHeight="1" s="1">
      <c r="A20" s="9" t="inlineStr">
        <is>
          <t>视频上传</t>
        </is>
      </c>
      <c r="B20" s="9" t="inlineStr">
        <is>
          <t>每个ASIN上传不同视频</t>
        </is>
      </c>
      <c r="C20" s="113" t="n">
        <v>75</v>
      </c>
      <c r="D20" s="82" t="n">
        <v>1</v>
      </c>
      <c r="E20" s="115">
        <f>ROUND(C20*D20,2)</f>
        <v/>
      </c>
      <c r="F20" s="9" t="inlineStr">
        <is>
          <t>5个SKU分别上传不同新视频</t>
        </is>
      </c>
      <c r="G20" s="9" t="inlineStr">
        <is>
          <t>5个视频×15元＝75元</t>
        </is>
      </c>
      <c r="H20" s="9" t="inlineStr">
        <is>
          <t>按不同新视频数量计费，不含拍摄剪辑。</t>
        </is>
      </c>
    </row>
    <row r="21" ht="13.85000038146973" customHeight="1" s="1">
      <c r="A21" s="3" t="n"/>
      <c r="B21" s="3" t="n"/>
      <c r="C21" s="3" t="n"/>
      <c r="D21" s="3" t="n"/>
      <c r="E21" s="3" t="n"/>
      <c r="F21" s="3" t="n"/>
      <c r="G21" s="3" t="n"/>
      <c r="H21" s="3" t="n"/>
    </row>
    <row r="22" ht="13.85000038146973" customHeight="1" s="1">
      <c r="A22" s="3" t="n"/>
      <c r="B22" s="3" t="n"/>
      <c r="C22" s="3" t="n"/>
      <c r="D22" s="3" t="n"/>
      <c r="E22" s="3" t="n"/>
      <c r="F22" s="3" t="n"/>
      <c r="G22" s="3" t="n"/>
      <c r="H22" s="3" t="n"/>
    </row>
    <row r="23" ht="28" customHeight="1" s="1">
      <c r="A23" s="12" t="inlineStr">
        <is>
          <t>OA一条一个SKU：建立上架执行组编号</t>
        </is>
      </c>
      <c r="B23" s="3" t="n"/>
      <c r="C23" s="3" t="n"/>
      <c r="D23" s="3" t="n"/>
      <c r="E23" s="3" t="n"/>
      <c r="F23" s="3" t="n"/>
      <c r="G23" s="3" t="n"/>
      <c r="H23" s="3" t="n"/>
    </row>
    <row r="24" ht="25" customHeight="1" s="1">
      <c r="A24" s="13" t="inlineStr">
        <is>
          <t>步骤1：识别同一次上架安排。创建人相同、时间接近、序号接近只作为候选线索，最终核对任务内容；创建人不等于执行人，不能只凭这些线索自动定组。</t>
        </is>
      </c>
      <c r="B24" s="3" t="n"/>
      <c r="C24" s="3" t="n"/>
      <c r="D24" s="3" t="n"/>
      <c r="E24" s="3" t="n"/>
      <c r="F24" s="3" t="n"/>
      <c r="G24" s="3" t="n"/>
      <c r="H24" s="3" t="n"/>
    </row>
    <row r="25" ht="25" customHeight="1" s="1">
      <c r="A25" s="13" t="inlineStr">
        <is>
          <t>步骤2：同次安排内，按同一执行人、同一站点、能共用一张上架表确定执行组。先看SKU字母前缀，再确认模板适用性；每条OA关联所属组编号。</t>
        </is>
      </c>
      <c r="B25" s="3" t="n"/>
      <c r="C25" s="3" t="n"/>
      <c r="D25" s="3" t="n"/>
      <c r="E25" s="3" t="n"/>
      <c r="F25" s="3" t="n"/>
      <c r="G25" s="3" t="n"/>
      <c r="H25" s="3" t="n"/>
    </row>
    <row r="26" ht="25" customHeight="1" s="1">
      <c r="A26" s="13" t="inlineStr">
        <is>
          <t>步骤3：统计组内本次需要新增或调整关系的不同父体数：0个用1.0，1个用1.3，2个及以上用1.6。新建和已有父体均计入；同一父体下多个子SKU只计1个父体。</t>
        </is>
      </c>
      <c r="B26" s="3" t="n"/>
      <c r="C26" s="3" t="n"/>
      <c r="D26" s="3" t="n"/>
      <c r="E26" s="3" t="n"/>
      <c r="F26" s="3" t="n"/>
      <c r="G26" s="3" t="n"/>
      <c r="H26" s="3" t="n"/>
    </row>
    <row r="27" ht="25" customHeight="1" s="1">
      <c r="A27" s="13" t="inlineStr">
        <is>
          <t>混合任务：本组既有独立上架SKU，也有加入变体的SKU时，只统计需要处理关系的父体；不把独立SKU当父体。同表重复提交不新增组，不能人为拆表提高金额。</t>
        </is>
      </c>
      <c r="B27" s="3" t="n"/>
      <c r="C27" s="3" t="n"/>
      <c r="D27" s="3" t="n"/>
      <c r="E27" s="3" t="n"/>
      <c r="F27" s="3" t="n"/>
      <c r="G27" s="3" t="n"/>
      <c r="H27" s="3" t="n"/>
    </row>
    <row r="28" ht="25" customHeight="1" s="1">
      <c r="A28" s="13" t="inlineStr">
        <is>
          <t>组内金额分摊至所属OA，保留2位小数并处理尾差；月度只统计组总金额或OA分摊金额中的一种。多人确需共同完成一组时，事先约定贡献分配，总金额不重复增加。</t>
        </is>
      </c>
      <c r="B28" s="3" t="n"/>
      <c r="C28" s="3" t="n"/>
      <c r="D28" s="3" t="n"/>
      <c r="E28" s="3" t="n"/>
      <c r="F28" s="3" t="n"/>
      <c r="G28" s="3" t="n"/>
      <c r="H28" s="3" t="n"/>
    </row>
    <row r="29" ht="13.85000038146973" customHeight="1" s="1">
      <c r="A29" s="3" t="n"/>
      <c r="B29" s="3" t="n"/>
      <c r="C29" s="3" t="n"/>
      <c r="D29" s="3" t="n"/>
      <c r="E29" s="3" t="n"/>
      <c r="F29" s="3" t="n"/>
      <c r="G29" s="3" t="n"/>
      <c r="H29" s="3" t="n"/>
    </row>
    <row r="30" ht="32" customHeight="1" s="1">
      <c r="A30" s="8" t="inlineStr">
        <is>
          <t>工作类型</t>
        </is>
      </c>
      <c r="B30" s="8" t="inlineStr">
        <is>
          <t>确认后的批次场景</t>
        </is>
      </c>
      <c r="C30" s="8" t="inlineStr">
        <is>
          <t>基础金额</t>
        </is>
      </c>
      <c r="D30" s="8" t="inlineStr">
        <is>
          <t>难度系数</t>
        </is>
      </c>
      <c r="E30" s="8" t="inlineStr">
        <is>
          <t>批次总金额</t>
        </is>
      </c>
      <c r="F30" s="8" t="inlineStr">
        <is>
          <t>OA任务条数</t>
        </is>
      </c>
      <c r="G30" s="8" t="inlineStr">
        <is>
          <t>每条OA分摊金额</t>
        </is>
      </c>
      <c r="H30" s="8" t="inlineStr">
        <is>
          <t>记录与结算</t>
        </is>
      </c>
    </row>
    <row r="31" ht="84" customHeight="1" s="1">
      <c r="A31" s="9" t="inlineStr">
        <is>
          <t>Listing上架</t>
        </is>
      </c>
      <c r="B31" s="9" t="inlineStr">
        <is>
          <t>1个独立SKU上架</t>
        </is>
      </c>
      <c r="C31" s="89" t="n">
        <v>25</v>
      </c>
      <c r="D31" s="90">
        <f>D8</f>
        <v/>
      </c>
      <c r="E31" s="89" t="n">
        <v>25</v>
      </c>
      <c r="F31" s="15" t="n">
        <v>1</v>
      </c>
      <c r="G31" s="89">
        <f>ROUND(E31/F31,2)</f>
        <v/>
      </c>
      <c r="H31" s="9" t="inlineStr">
        <is>
          <t>本例均为一个上架表组。OA逐条关联该组编号；本例按SKU均分。组总金额和OA分摊金额只能汇总一种。</t>
        </is>
      </c>
    </row>
    <row r="32" ht="84" customHeight="1" s="1">
      <c r="A32" s="9" t="inlineStr">
        <is>
          <t>Listing上架</t>
        </is>
      </c>
      <c r="B32" s="9" t="inlineStr">
        <is>
          <t>5个独立SKU上架</t>
        </is>
      </c>
      <c r="C32" s="89" t="n">
        <v>40</v>
      </c>
      <c r="D32" s="90">
        <f>D9</f>
        <v/>
      </c>
      <c r="E32" s="89" t="n">
        <v>40</v>
      </c>
      <c r="F32" s="15" t="n">
        <v>5</v>
      </c>
      <c r="G32" s="89">
        <f>ROUND(E32/F32,2)</f>
        <v/>
      </c>
      <c r="H32" s="9" t="inlineStr">
        <is>
          <t>本例均为一个上架表组。OA逐条关联该组编号；本例按SKU均分。组总金额和OA分摊金额只能汇总一种。</t>
        </is>
      </c>
    </row>
    <row r="33" ht="84" customHeight="1" s="1">
      <c r="A33" s="9" t="inlineStr">
        <is>
          <t>Listing上架</t>
        </is>
      </c>
      <c r="B33" s="9" t="inlineStr">
        <is>
          <t>5个SKU组成一个变体</t>
        </is>
      </c>
      <c r="C33" s="89" t="n">
        <v>40</v>
      </c>
      <c r="D33" s="90">
        <f>D10</f>
        <v/>
      </c>
      <c r="E33" s="89" t="n">
        <v>52</v>
      </c>
      <c r="F33" s="15" t="n">
        <v>5</v>
      </c>
      <c r="G33" s="89">
        <f>ROUND(E33/F33,2)</f>
        <v/>
      </c>
      <c r="H33" s="9" t="inlineStr">
        <is>
          <t>本例均为一个上架表组。OA逐条关联该组编号；本例按SKU均分。组总金额和OA分摊金额只能汇总一种。</t>
        </is>
      </c>
    </row>
    <row r="34" ht="84" customHeight="1" s="1">
      <c r="A34" s="9" t="inlineStr">
        <is>
          <t>Listing上架</t>
        </is>
      </c>
      <c r="B34" s="9" t="inlineStr">
        <is>
          <t>5个SKU加入不同变体</t>
        </is>
      </c>
      <c r="C34" s="89" t="n">
        <v>40</v>
      </c>
      <c r="D34" s="90">
        <f>D11</f>
        <v/>
      </c>
      <c r="E34" s="89" t="n">
        <v>64</v>
      </c>
      <c r="F34" s="15" t="n">
        <v>5</v>
      </c>
      <c r="G34" s="89">
        <f>ROUND(E34/F34,2)</f>
        <v/>
      </c>
      <c r="H34" s="9" t="inlineStr">
        <is>
          <t>本例均为一个上架表组。OA逐条关联该组编号；本例按SKU均分。组总金额和OA分摊金额只能汇总一种。</t>
        </is>
      </c>
    </row>
    <row r="35" ht="13.85000038146973" customHeight="1" s="1">
      <c r="A35" s="3" t="n"/>
      <c r="B35" s="3" t="n"/>
      <c r="C35" s="3" t="n"/>
      <c r="D35" s="3" t="n"/>
      <c r="E35" s="3" t="n"/>
      <c r="F35" s="3" t="n"/>
      <c r="G35" s="3" t="n"/>
      <c r="H35" s="3" t="n"/>
    </row>
    <row r="36" ht="13.85000038146973" customHeight="1" s="1">
      <c r="A36" s="3" t="n"/>
      <c r="B36" s="3" t="n"/>
      <c r="C36" s="3" t="n"/>
      <c r="D36" s="3" t="n"/>
      <c r="E36" s="3" t="n"/>
      <c r="F36" s="3" t="n"/>
      <c r="G36" s="3" t="n"/>
      <c r="H36" s="3" t="n"/>
    </row>
    <row r="37" ht="13.85000038146973" customHeight="1" s="1">
      <c r="A37" s="3" t="n"/>
      <c r="B37" s="3" t="n"/>
      <c r="C37" s="3" t="n"/>
      <c r="D37" s="3" t="n"/>
      <c r="E37" s="3" t="n"/>
      <c r="F37" s="3" t="n"/>
      <c r="G37" s="3" t="n"/>
      <c r="H37" s="3" t="n"/>
    </row>
    <row r="38" ht="28" customHeight="1" s="1">
      <c r="A38" s="12" t="inlineStr">
        <is>
          <t>Listing上架：单SKU25元，多SKU共用一张表40元</t>
        </is>
      </c>
      <c r="B38" s="3" t="n"/>
      <c r="C38" s="3" t="n"/>
      <c r="D38" s="3" t="n"/>
      <c r="E38" s="3" t="n"/>
      <c r="F38" s="3" t="n"/>
      <c r="G38" s="3" t="n"/>
      <c r="H38" s="3" t="n"/>
    </row>
    <row r="39" ht="25" customHeight="1" s="1">
      <c r="A39" s="13" t="inlineStr">
        <is>
          <t>统一基础金额规则：每组1个SKU为25元；每组2个及以上SKU可共用一张上架表为40元。同一张表内不再按SKU数量增加金额。不同上架表分别建立任务组并计费。</t>
        </is>
      </c>
      <c r="B39" s="3" t="n"/>
      <c r="C39" s="3" t="n"/>
      <c r="D39" s="3" t="n"/>
      <c r="E39" s="3" t="n"/>
      <c r="F39" s="3" t="n"/>
      <c r="G39" s="3" t="n"/>
      <c r="H39" s="3" t="n"/>
    </row>
    <row r="40" ht="25" customHeight="1" s="1">
      <c r="A40" s="13" t="inlineStr">
        <is>
          <t>每组金额＝本组基础金额×本组难度系数。系数按本次需处理关系的不同父体数判断：0个为1.0、1个为1.3、2个及以上为1.6；不是按OA条数或商品SKU数量判断。</t>
        </is>
      </c>
      <c r="B40" s="3" t="n"/>
      <c r="C40" s="3" t="n"/>
      <c r="D40" s="3" t="n"/>
      <c r="E40" s="3" t="n"/>
      <c r="F40" s="3" t="n"/>
      <c r="G40" s="3" t="n"/>
      <c r="H40" s="3" t="n"/>
    </row>
    <row r="41" ht="25" customHeight="1" s="1">
      <c r="A41" s="13" t="inlineStr">
        <is>
          <t>示例一、二展示2个和4个SKU共用一张表时均为40元；示例三、四复现2个JFMSV加入不同变体、5个JFPP组成一个新变体。黄色数量和系数可调整，金额自动计算。</t>
        </is>
      </c>
      <c r="B41" s="3" t="n"/>
      <c r="C41" s="3" t="n"/>
      <c r="D41" s="3" t="n"/>
      <c r="E41" s="3" t="n"/>
      <c r="F41" s="3" t="n"/>
      <c r="G41" s="3" t="n"/>
      <c r="H41" s="3" t="n"/>
    </row>
    <row r="42" ht="13.85000038146973" customHeight="1" s="1">
      <c r="A42" s="3" t="n"/>
      <c r="B42" s="3" t="n"/>
      <c r="C42" s="3" t="n"/>
      <c r="D42" s="3" t="n"/>
      <c r="E42" s="3" t="n"/>
      <c r="F42" s="3" t="n"/>
      <c r="G42" s="3" t="n"/>
      <c r="H42" s="3" t="n"/>
    </row>
    <row r="43" ht="32" customHeight="1" s="1">
      <c r="A43" s="8" t="inlineStr">
        <is>
          <t>示例</t>
        </is>
      </c>
      <c r="B43" s="8" t="inlineStr">
        <is>
          <t>上架表任务组</t>
        </is>
      </c>
      <c r="C43" s="8" t="inlineStr">
        <is>
          <t>本组SKU数</t>
        </is>
      </c>
      <c r="D43" s="8" t="inlineStr">
        <is>
          <t>本组基础金额</t>
        </is>
      </c>
      <c r="E43" s="8" t="inlineStr">
        <is>
          <t>难度系数</t>
        </is>
      </c>
      <c r="F43" s="8" t="inlineStr">
        <is>
          <t>本组金额</t>
        </is>
      </c>
      <c r="G43" s="8" t="inlineStr">
        <is>
          <t>分组说明</t>
        </is>
      </c>
      <c r="H43" s="8" t="inlineStr">
        <is>
          <t>计费说明</t>
        </is>
      </c>
    </row>
    <row r="44" ht="84" customHeight="1" s="1">
      <c r="A44" s="9" t="inlineStr">
        <is>
          <t>一张表</t>
        </is>
      </c>
      <c r="B44" s="9" t="inlineStr">
        <is>
          <t>JFMSV</t>
        </is>
      </c>
      <c r="C44" s="17" t="n">
        <v>2</v>
      </c>
      <c r="D44" s="89">
        <f>IF(C44=1,25,40)</f>
        <v/>
      </c>
      <c r="E44" s="82" t="n">
        <v>1</v>
      </c>
      <c r="F44" s="89">
        <f>ROUND(D44*E44,2)</f>
        <v/>
      </c>
      <c r="G44" s="9">
        <f>C44&amp;"个JFMSV可以共用一张上架表。"</f>
        <v/>
      </c>
      <c r="H44" s="9" t="inlineStr">
        <is>
          <t>2个SKU共用一张表，基础金额40元；更多SKU仍共用该表时，基础金额不再递增。</t>
        </is>
      </c>
    </row>
    <row r="45" ht="84" customHeight="1" s="1">
      <c r="A45" s="9" t="inlineStr">
        <is>
          <t>一张表</t>
        </is>
      </c>
      <c r="B45" s="9" t="inlineStr">
        <is>
          <t>JFMSV</t>
        </is>
      </c>
      <c r="C45" s="17" t="n">
        <v>4</v>
      </c>
      <c r="D45" s="89">
        <f>IF(C45=1,25,40)</f>
        <v/>
      </c>
      <c r="E45" s="82" t="n">
        <v>1</v>
      </c>
      <c r="F45" s="89">
        <f>ROUND(D45*E45,2)</f>
        <v/>
      </c>
      <c r="G45" s="9">
        <f>C45&amp;"个JFMSV可以共用一张上架表。"</f>
        <v/>
      </c>
      <c r="H45" s="9" t="inlineStr">
        <is>
          <t>4个SKU共用一张表，基础金额同样为40元。</t>
        </is>
      </c>
    </row>
    <row r="46" ht="84" customHeight="1" s="1">
      <c r="A46" s="9" t="inlineStr">
        <is>
          <t>两张表：第1组</t>
        </is>
      </c>
      <c r="B46" s="9" t="inlineStr">
        <is>
          <t>JFMSV</t>
        </is>
      </c>
      <c r="C46" s="17" t="n">
        <v>2</v>
      </c>
      <c r="D46" s="89">
        <f>IF(C46=1,25,40)</f>
        <v/>
      </c>
      <c r="E46" s="82" t="n">
        <v>1.6</v>
      </c>
      <c r="F46" s="89">
        <f>ROUND(D46*E46,2)</f>
        <v/>
      </c>
      <c r="G46" s="9">
        <f>"同次安排中的"&amp;C46&amp;"个JFMSV需要一张上架表。"</f>
        <v/>
      </c>
      <c r="H46" s="9" t="inlineStr">
        <is>
          <t>JFMSV00001、JFMSV00002分别加入两个不同的已有父体；本次涉及2个父体，系数1.6。</t>
        </is>
      </c>
    </row>
    <row r="47" ht="84" customHeight="1" s="1">
      <c r="A47" s="9" t="inlineStr">
        <is>
          <t>两张表：第2组</t>
        </is>
      </c>
      <c r="B47" s="9" t="inlineStr">
        <is>
          <t>JFPP</t>
        </is>
      </c>
      <c r="C47" s="17" t="n">
        <v>5</v>
      </c>
      <c r="D47" s="89">
        <f>IF(C47=1,25,40)</f>
        <v/>
      </c>
      <c r="E47" s="82" t="n">
        <v>1.3</v>
      </c>
      <c r="F47" s="89">
        <f>ROUND(D47*E47,2)</f>
        <v/>
      </c>
      <c r="G47" s="9">
        <f>"同次安排中的"&amp;C47&amp;"个JFPP需要另一张上架表。"</f>
        <v/>
      </c>
      <c r="H47" s="9" t="inlineStr">
        <is>
          <t>JFPP00001—00005共同组成一个新父体下的变体组；本次涉及1个父体，系数1.3。父体不另计商品SKU。</t>
        </is>
      </c>
    </row>
    <row r="48" ht="13.85000038146973" customHeight="1" s="1">
      <c r="A48" s="3" t="n"/>
      <c r="B48" s="3" t="n"/>
      <c r="C48" s="3" t="n"/>
      <c r="D48" s="3" t="n"/>
      <c r="E48" s="3" t="n"/>
      <c r="F48" s="3" t="n"/>
      <c r="G48" s="3" t="n"/>
      <c r="H48" s="3" t="n"/>
    </row>
    <row r="49" ht="60" customHeight="1" s="1">
      <c r="A49" s="3" t="n"/>
      <c r="B49" s="12" t="inlineStr">
        <is>
          <t>两张表本次安排合计</t>
        </is>
      </c>
      <c r="C49" s="12" t="n"/>
      <c r="D49" s="12" t="n"/>
      <c r="E49" s="12" t="n"/>
      <c r="F49" s="91">
        <f>SUM(F46:F47)</f>
        <v/>
      </c>
      <c r="G49" s="12">
        <f>C46&amp;"个JFMSV＋"&amp;C47&amp;"个JFPP"</f>
        <v/>
      </c>
      <c r="H49" s="12" t="inlineStr">
        <is>
          <t>按当前案例，两组分别为64元和52元，总金额116元。不同表分组计费，同一表不按数量递增。</t>
        </is>
      </c>
    </row>
    <row r="50" ht="13.85000038146973" customHeight="1" s="1">
      <c r="A50" s="3" t="n"/>
      <c r="B50" s="3" t="n"/>
      <c r="C50" s="3" t="n"/>
      <c r="D50" s="3" t="n"/>
      <c r="E50" s="3" t="n"/>
      <c r="F50" s="3" t="n"/>
      <c r="G50" s="3" t="n"/>
      <c r="H50" s="3" t="n"/>
    </row>
    <row r="51" ht="13.85000038146973" customHeight="1" s="1">
      <c r="A51" s="3" t="n"/>
      <c r="B51" s="3" t="n"/>
      <c r="C51" s="3" t="n"/>
      <c r="D51" s="3" t="n"/>
      <c r="E51" s="3" t="n"/>
      <c r="F51" s="3" t="n"/>
      <c r="G51" s="3" t="n"/>
      <c r="H51" s="3" t="n"/>
    </row>
    <row r="52" ht="28" customHeight="1" s="1">
      <c r="A52" s="12" t="inlineStr">
        <is>
          <t>OA记录如何关联上架执行组：7条SKU示例</t>
        </is>
      </c>
      <c r="B52" s="3" t="n"/>
      <c r="C52" s="3" t="n"/>
      <c r="D52" s="3" t="n"/>
      <c r="E52" s="3" t="n"/>
      <c r="F52" s="3" t="n"/>
      <c r="G52" s="3" t="n"/>
      <c r="H52" s="3" t="n"/>
    </row>
    <row r="53" ht="25" customHeight="1" s="1">
      <c r="A53" s="13" t="inlineStr">
        <is>
          <t>组定义：同一次上架安排中，由同一人执行、同一站点、能够共用一张上架表的SKU集合。先确认执行组，再按父体数选择难度，不能把“一条OA”直接当成“一组”。</t>
        </is>
      </c>
      <c r="B53" s="3" t="n"/>
      <c r="C53" s="3" t="n"/>
      <c r="D53" s="3" t="n"/>
      <c r="E53" s="3" t="n"/>
      <c r="F53" s="3" t="n"/>
      <c r="G53" s="3" t="n"/>
      <c r="H53" s="3" t="n"/>
    </row>
    <row r="54" ht="25" customHeight="1" s="1">
      <c r="A54" s="13" t="inlineStr">
        <is>
          <t>记录方式：每条OA补充上架执行组编号。OA暂不能增加字段时，可在备注或考核台账中记录；组编号、实际OA编号、SKU、目标父体及验收结果应能相互追溯。</t>
        </is>
      </c>
      <c r="B54" s="3" t="n"/>
      <c r="C54" s="3" t="n"/>
      <c r="D54" s="3" t="n"/>
      <c r="E54" s="3" t="n"/>
      <c r="F54" s="3" t="n"/>
      <c r="G54" s="3" t="n"/>
      <c r="H54" s="3" t="n"/>
    </row>
    <row r="55" ht="25" customHeight="1" s="1">
      <c r="A55" s="13" t="inlineStr">
        <is>
          <t>以下上架组001、上架组002为示例编号；已有父体A、已有父体B、新父体C均为示意名称，执行时替换为实际父体标识。实际OA编号未提供，黄色位置保留待填。</t>
        </is>
      </c>
      <c r="B55" s="3" t="n"/>
      <c r="C55" s="3" t="n"/>
      <c r="D55" s="3" t="n"/>
      <c r="E55" s="3" t="n"/>
      <c r="F55" s="3" t="n"/>
      <c r="G55" s="3" t="n"/>
      <c r="H55" s="3" t="n"/>
    </row>
    <row r="56" ht="25" customHeight="1" s="1">
      <c r="A56" s="13" t="inlineStr">
        <is>
          <t>本例固定为2个JFMSV加入不同已有父体、5个JFPP组成1个新父体；分摊金额引用上方案例。实际分组改变后，应重新确认组范围和父体数，再在台账结算。</t>
        </is>
      </c>
      <c r="B56" s="3" t="n"/>
      <c r="C56" s="3" t="n"/>
      <c r="D56" s="3" t="n"/>
      <c r="E56" s="3" t="n"/>
      <c r="F56" s="3" t="n"/>
      <c r="G56" s="3" t="n"/>
      <c r="H56" s="3" t="n"/>
    </row>
    <row r="57" ht="13.85000038146973" customHeight="1" s="1">
      <c r="A57" s="3" t="n"/>
      <c r="B57" s="3" t="n"/>
      <c r="C57" s="3" t="n"/>
      <c r="D57" s="3" t="n"/>
      <c r="E57" s="3" t="n"/>
      <c r="F57" s="3" t="n"/>
      <c r="G57" s="3" t="n"/>
      <c r="H57" s="3" t="n"/>
    </row>
    <row r="58" ht="42" customHeight="1" s="1">
      <c r="A58" s="8" t="inlineStr">
        <is>
          <t>上架组编号</t>
        </is>
      </c>
      <c r="B58" s="8" t="inlineStr">
        <is>
          <t>商品SKU</t>
        </is>
      </c>
      <c r="C58" s="8" t="inlineStr">
        <is>
          <t>OA记录编号</t>
        </is>
      </c>
      <c r="D58" s="8" t="inlineStr">
        <is>
          <t>目标父体</t>
        </is>
      </c>
      <c r="E58" s="8" t="inlineStr">
        <is>
          <t>本组父体数</t>
        </is>
      </c>
      <c r="F58" s="8" t="inlineStr">
        <is>
          <t>难度系数</t>
        </is>
      </c>
      <c r="G58" s="8" t="inlineStr">
        <is>
          <t>本条OA分摊金额</t>
        </is>
      </c>
      <c r="H58" s="8" t="inlineStr">
        <is>
          <t>判断依据</t>
        </is>
      </c>
    </row>
    <row r="59" ht="70" customHeight="1" s="1">
      <c r="A59" s="9" t="inlineStr">
        <is>
          <t>上架组001</t>
        </is>
      </c>
      <c r="B59" s="9" t="inlineStr">
        <is>
          <t>JFMSV00001</t>
        </is>
      </c>
      <c r="C59" s="19" t="inlineStr">
        <is>
          <t>待填</t>
        </is>
      </c>
      <c r="D59" s="9" t="inlineStr">
        <is>
          <t>已有父体A</t>
        </is>
      </c>
      <c r="E59" s="15" t="n">
        <v>2</v>
      </c>
      <c r="F59" s="90">
        <f>E46</f>
        <v/>
      </c>
      <c r="G59" s="89">
        <f>ROUND(F46/C46,2)</f>
        <v/>
      </c>
      <c r="H59" s="9" t="inlineStr">
        <is>
          <t>同组两条OA分别关联不同已有父体，本组共涉及2个父体。</t>
        </is>
      </c>
    </row>
    <row r="60" ht="70" customHeight="1" s="1">
      <c r="A60" s="9" t="inlineStr">
        <is>
          <t>上架组001</t>
        </is>
      </c>
      <c r="B60" s="9" t="inlineStr">
        <is>
          <t>JFMSV00002</t>
        </is>
      </c>
      <c r="C60" s="19" t="inlineStr">
        <is>
          <t>待填</t>
        </is>
      </c>
      <c r="D60" s="9" t="inlineStr">
        <is>
          <t>已有父体B</t>
        </is>
      </c>
      <c r="E60" s="15" t="n">
        <v>2</v>
      </c>
      <c r="F60" s="90">
        <f>E46</f>
        <v/>
      </c>
      <c r="G60" s="89">
        <f>ROUND(F46/C46,2)</f>
        <v/>
      </c>
      <c r="H60" s="9" t="inlineStr">
        <is>
          <t>与上一条共用一张上架表；目标父体不同，本组系数1.6。</t>
        </is>
      </c>
    </row>
    <row r="61" ht="70" customHeight="1" s="1">
      <c r="A61" s="9" t="inlineStr">
        <is>
          <t>上架组002</t>
        </is>
      </c>
      <c r="B61" s="9" t="inlineStr">
        <is>
          <t>JFPP00001</t>
        </is>
      </c>
      <c r="C61" s="19" t="inlineStr">
        <is>
          <t>待填</t>
        </is>
      </c>
      <c r="D61" s="9" t="inlineStr">
        <is>
          <t>新父体C</t>
        </is>
      </c>
      <c r="E61" s="15" t="n">
        <v>1</v>
      </c>
      <c r="F61" s="90">
        <f>E47</f>
        <v/>
      </c>
      <c r="G61" s="89">
        <f>ROUND(F47/C47,2)</f>
        <v/>
      </c>
      <c r="H61" s="9" t="inlineStr">
        <is>
          <t>5条OA共同关联同一个新父体，本组父体数为1，系数1.3。</t>
        </is>
      </c>
    </row>
    <row r="62" ht="70" customHeight="1" s="1">
      <c r="A62" s="9" t="inlineStr">
        <is>
          <t>上架组002</t>
        </is>
      </c>
      <c r="B62" s="9" t="inlineStr">
        <is>
          <t>JFPP00002</t>
        </is>
      </c>
      <c r="C62" s="19" t="inlineStr">
        <is>
          <t>待填</t>
        </is>
      </c>
      <c r="D62" s="9" t="inlineStr">
        <is>
          <t>新父体C</t>
        </is>
      </c>
      <c r="E62" s="15" t="n">
        <v>1</v>
      </c>
      <c r="F62" s="90">
        <f>E47</f>
        <v/>
      </c>
      <c r="G62" s="89">
        <f>ROUND(F47/C47,2)</f>
        <v/>
      </c>
      <c r="H62" s="9" t="inlineStr">
        <is>
          <t>5条OA共同关联同一个新父体，本组父体数为1，系数1.3。</t>
        </is>
      </c>
    </row>
    <row r="63" ht="70" customHeight="1" s="1">
      <c r="A63" s="9" t="inlineStr">
        <is>
          <t>上架组002</t>
        </is>
      </c>
      <c r="B63" s="9" t="inlineStr">
        <is>
          <t>JFPP00003</t>
        </is>
      </c>
      <c r="C63" s="19" t="inlineStr">
        <is>
          <t>待填</t>
        </is>
      </c>
      <c r="D63" s="9" t="inlineStr">
        <is>
          <t>新父体C</t>
        </is>
      </c>
      <c r="E63" s="15" t="n">
        <v>1</v>
      </c>
      <c r="F63" s="90">
        <f>E47</f>
        <v/>
      </c>
      <c r="G63" s="89">
        <f>ROUND(F47/C47,2)</f>
        <v/>
      </c>
      <c r="H63" s="9" t="inlineStr">
        <is>
          <t>5条OA共同关联同一个新父体，本组父体数为1，系数1.3。</t>
        </is>
      </c>
    </row>
    <row r="64" ht="70" customHeight="1" s="1">
      <c r="A64" s="9" t="inlineStr">
        <is>
          <t>上架组002</t>
        </is>
      </c>
      <c r="B64" s="9" t="inlineStr">
        <is>
          <t>JFPP00004</t>
        </is>
      </c>
      <c r="C64" s="19" t="inlineStr">
        <is>
          <t>待填</t>
        </is>
      </c>
      <c r="D64" s="9" t="inlineStr">
        <is>
          <t>新父体C</t>
        </is>
      </c>
      <c r="E64" s="15" t="n">
        <v>1</v>
      </c>
      <c r="F64" s="90">
        <f>E47</f>
        <v/>
      </c>
      <c r="G64" s="89">
        <f>ROUND(F47/C47,2)</f>
        <v/>
      </c>
      <c r="H64" s="9" t="inlineStr">
        <is>
          <t>5条OA共同关联同一个新父体，本组父体数为1，系数1.3。</t>
        </is>
      </c>
    </row>
    <row r="65" ht="70" customHeight="1" s="1">
      <c r="A65" s="9" t="inlineStr">
        <is>
          <t>上架组002</t>
        </is>
      </c>
      <c r="B65" s="9" t="inlineStr">
        <is>
          <t>JFPP00005</t>
        </is>
      </c>
      <c r="C65" s="19" t="inlineStr">
        <is>
          <t>待填</t>
        </is>
      </c>
      <c r="D65" s="9" t="inlineStr">
        <is>
          <t>新父体C</t>
        </is>
      </c>
      <c r="E65" s="15" t="n">
        <v>1</v>
      </c>
      <c r="F65" s="90">
        <f>E47</f>
        <v/>
      </c>
      <c r="G65" s="89">
        <f>ROUND(F47/C47,2)</f>
        <v/>
      </c>
      <c r="H65" s="9" t="inlineStr">
        <is>
          <t>5条OA共同关联同一个新父体，本组父体数为1，系数1.3。</t>
        </is>
      </c>
    </row>
    <row r="66" ht="13.85000038146973" customHeight="1" s="1">
      <c r="A66" s="3" t="n"/>
      <c r="B66" s="3" t="n"/>
      <c r="C66" s="3" t="n"/>
      <c r="D66" s="3" t="n"/>
      <c r="E66" s="3" t="n"/>
      <c r="F66" s="3" t="n"/>
      <c r="G66" s="3" t="n"/>
      <c r="H66" s="3" t="n"/>
    </row>
    <row r="67" ht="48" customHeight="1" s="1">
      <c r="A67" s="3" t="n"/>
      <c r="B67" s="12" t="inlineStr">
        <is>
          <t>7条OA分摊合计</t>
        </is>
      </c>
      <c r="C67" s="12" t="n"/>
      <c r="D67" s="12" t="n"/>
      <c r="E67" s="12" t="n"/>
      <c r="F67" s="12" t="n"/>
      <c r="G67" s="91">
        <f>SUM(G59:G65)</f>
        <v/>
      </c>
      <c r="H67" s="12" t="inlineStr">
        <is>
          <t>应等于上方两组总金额116元；组总金额和明细金额不能重复累计。</t>
        </is>
      </c>
    </row>
    <row r="68" ht="13.85000038146973" customHeight="1" s="1">
      <c r="A68" s="3" t="n"/>
      <c r="B68" s="3" t="n"/>
      <c r="C68" s="3" t="n"/>
      <c r="D68" s="3" t="n"/>
      <c r="E68" s="3" t="n"/>
      <c r="F68" s="3" t="n"/>
      <c r="G68" s="3" t="n"/>
      <c r="H68" s="3" t="n"/>
    </row>
    <row r="69" ht="13.85000038146973" customHeight="1" s="1">
      <c r="A69" s="3" t="n"/>
      <c r="B69" s="3" t="n"/>
      <c r="C69" s="3" t="n"/>
      <c r="D69" s="3" t="n"/>
      <c r="E69" s="3" t="n"/>
      <c r="F69" s="3" t="n"/>
      <c r="G69" s="3" t="n"/>
      <c r="H69" s="3" t="n"/>
    </row>
    <row r="70" ht="13.85000038146973" customHeight="1" s="1">
      <c r="A70" s="3" t="inlineStr">
        <is>
          <t>补充案例：图片、A+、视频、纠错及内容优化</t>
        </is>
      </c>
    </row>
    <row r="71" ht="14.64999961853027" customHeight="1" s="1">
      <c r="A71" s="21" t="inlineStr">
        <is>
          <t>工作项目</t>
        </is>
      </c>
      <c r="B71" s="21" t="inlineStr">
        <is>
          <t>实际场景</t>
        </is>
      </c>
      <c r="C71" s="21" t="inlineStr">
        <is>
          <t>累计基础金额</t>
        </is>
      </c>
      <c r="D71" s="21" t="inlineStr">
        <is>
          <t>难度系数</t>
        </is>
      </c>
      <c r="E71" s="21" t="inlineStr">
        <is>
          <t>任务金额</t>
        </is>
      </c>
      <c r="F71" s="21" t="inlineStr">
        <is>
          <t>计算依据</t>
        </is>
      </c>
      <c r="G71" s="21" t="inlineStr">
        <is>
          <t>结算说明</t>
        </is>
      </c>
      <c r="H71" s="21" t="inlineStr">
        <is>
          <t>备注</t>
        </is>
      </c>
    </row>
    <row r="72" ht="95" customHeight="1" s="1">
      <c r="A72" s="3" t="inlineStr">
        <is>
          <t>图片上传</t>
        </is>
      </c>
      <c r="B72" s="3" t="inlineStr">
        <is>
          <t>5个SKU均需向产品负责人取图</t>
        </is>
      </c>
      <c r="C72" s="92" t="n">
        <v>50</v>
      </c>
      <c r="D72" s="3" t="n">
        <v>1.3</v>
      </c>
      <c r="E72" s="92">
        <f>ROUND(C72*D72,2)</f>
        <v/>
      </c>
      <c r="F72" s="3" t="inlineStr">
        <is>
          <t>每SKU10元，取图系数1.3</t>
        </is>
      </c>
      <c r="G72" s="3" t="inlineStr">
        <is>
          <t>等待时间不额外增加金额。</t>
        </is>
      </c>
      <c r="H72" s="3" t="n"/>
    </row>
    <row r="73" ht="95" customHeight="1" s="1">
      <c r="A73" s="3" t="inlineStr">
        <is>
          <t>样品协调＋图片</t>
        </is>
      </c>
      <c r="B73" s="3" t="inlineStr">
        <is>
          <t>10个不同SKU共用一次备货及拍摄协调安排</t>
        </is>
      </c>
      <c r="C73" s="92" t="n">
        <v>125</v>
      </c>
      <c r="D73" s="3" t="n">
        <v>1</v>
      </c>
      <c r="E73" s="92">
        <f>ROUND(C73*D73,2)</f>
        <v/>
      </c>
      <c r="F73" s="3" t="inlineStr">
        <is>
          <t>协调25元＋10个SKU×10元＝125元</t>
        </is>
      </c>
      <c r="G73" s="3" t="inlineStr">
        <is>
          <t>协调工作只计一次，不再用图片取图系数。</t>
        </is>
      </c>
      <c r="H73" s="3" t="n"/>
    </row>
    <row r="74" ht="95" customHeight="1" s="1">
      <c r="A74" s="3" t="inlineStr">
        <is>
          <t>A+绑定</t>
        </is>
      </c>
      <c r="B74" s="3" t="inlineStr">
        <is>
          <t>1个SKU加入已有A+</t>
        </is>
      </c>
      <c r="C74" s="92" t="n">
        <v>5</v>
      </c>
      <c r="D74" s="3" t="n">
        <v>1</v>
      </c>
      <c r="E74" s="92">
        <f>ROUND(C74*D74,2)</f>
        <v/>
      </c>
      <c r="F74" s="3" t="inlineStr">
        <is>
          <t>1×5元</t>
        </is>
      </c>
      <c r="G74" s="3" t="inlineStr">
        <is>
          <t>固定系数1。</t>
        </is>
      </c>
      <c r="H74" s="3" t="n"/>
    </row>
    <row r="75" ht="95" customHeight="1" s="1">
      <c r="A75" s="3" t="inlineStr">
        <is>
          <t>A+绑定</t>
        </is>
      </c>
      <c r="B75" s="3" t="inlineStr">
        <is>
          <t>5个SKU加入5份已有A+</t>
        </is>
      </c>
      <c r="C75" s="92" t="n">
        <v>25</v>
      </c>
      <c r="D75" s="3" t="n">
        <v>1</v>
      </c>
      <c r="E75" s="92">
        <f>ROUND(C75*D75,2)</f>
        <v/>
      </c>
      <c r="F75" s="3" t="inlineStr">
        <is>
          <t>5×5元</t>
        </is>
      </c>
      <c r="G75" s="3" t="inlineStr">
        <is>
          <t>不同已有A+仍按SKU计。</t>
        </is>
      </c>
      <c r="H75" s="3" t="n"/>
    </row>
    <row r="76" ht="95" customHeight="1" s="1">
      <c r="A76" s="3" t="inlineStr">
        <is>
          <t>A+新建</t>
        </is>
      </c>
      <c r="B76" s="3" t="inlineStr">
        <is>
          <t>3份不同新A+</t>
        </is>
      </c>
      <c r="C76" s="92" t="n">
        <v>225</v>
      </c>
      <c r="D76" s="3" t="n">
        <v>1</v>
      </c>
      <c r="E76" s="92">
        <f>ROUND(C76*D76,2)</f>
        <v/>
      </c>
      <c r="F76" s="3" t="inlineStr">
        <is>
          <t>3份×75元＝225元</t>
        </is>
      </c>
      <c r="G76" s="3" t="inlineStr">
        <is>
          <t>按实际独立内容份数。</t>
        </is>
      </c>
      <c r="H76" s="3" t="n"/>
    </row>
    <row r="77" ht="95" customHeight="1" s="1">
      <c r="A77" s="3" t="inlineStr">
        <is>
          <t>A+混合</t>
        </is>
      </c>
      <c r="B77" s="3" t="inlineStr">
        <is>
          <t>新建1份，同时另有2个SKU加入其他已有A+</t>
        </is>
      </c>
      <c r="C77" s="92" t="n">
        <v>85</v>
      </c>
      <c r="D77" s="3" t="n">
        <v>1</v>
      </c>
      <c r="E77" s="92">
        <f>ROUND(C77*D77,2)</f>
        <v/>
      </c>
      <c r="F77" s="3" t="inlineStr">
        <is>
          <t>75元＋2个SKU×5元＝85元</t>
        </is>
      </c>
      <c r="G77" s="3" t="inlineStr">
        <is>
          <t>新建的首次绑定已包含；10元是另外的已有内容绑定。</t>
        </is>
      </c>
      <c r="H77" s="3" t="n"/>
    </row>
    <row r="78" ht="95" customHeight="1" s="1">
      <c r="A78" s="3" t="inlineStr">
        <is>
          <t>视频绑定</t>
        </is>
      </c>
      <c r="B78" s="3" t="inlineStr">
        <is>
          <t>5个SKU加入5个已有视频</t>
        </is>
      </c>
      <c r="C78" s="92" t="n">
        <v>25</v>
      </c>
      <c r="D78" s="3" t="n">
        <v>1</v>
      </c>
      <c r="E78" s="92">
        <f>ROUND(C78*D78,2)</f>
        <v/>
      </c>
      <c r="F78" s="3" t="inlineStr">
        <is>
          <t>每个视频绑定1个SKU，各5元</t>
        </is>
      </c>
      <c r="G78" s="3" t="inlineStr">
        <is>
          <t>同一批按目标视频分别计算。</t>
        </is>
      </c>
      <c r="H78" s="3" t="n"/>
    </row>
    <row r="79" ht="95" customHeight="1" s="1">
      <c r="A79" s="3" t="inlineStr">
        <is>
          <t>Listing纠错</t>
        </is>
      </c>
      <c r="B79" s="3" t="inlineStr">
        <is>
          <t>同一电压错误出现于多个内容位置</t>
        </is>
      </c>
      <c r="C79" s="92" t="n">
        <v>10</v>
      </c>
      <c r="D79" s="3" t="n">
        <v>1</v>
      </c>
      <c r="E79" s="92">
        <f>ROUND(C79*D79,2)</f>
        <v/>
      </c>
      <c r="F79" s="3" t="inlineStr">
        <is>
          <t>1个独立错误点×10元</t>
        </is>
      </c>
      <c r="G79" s="3" t="inlineStr">
        <is>
          <t>必须检查全部指定模块并修正同源错误。</t>
        </is>
      </c>
      <c r="H79" s="3" t="n"/>
    </row>
    <row r="80" ht="95" customHeight="1" s="1">
      <c r="A80" s="3" t="inlineStr">
        <is>
          <t>Listing纠错</t>
        </is>
      </c>
      <c r="B80" s="3" t="inlineStr">
        <is>
          <t>电压、尺寸、材质3个独立错误</t>
        </is>
      </c>
      <c r="C80" s="92" t="n">
        <v>30</v>
      </c>
      <c r="D80" s="3" t="n">
        <v>1</v>
      </c>
      <c r="E80" s="92">
        <f>ROUND(C80*D80,2)</f>
        <v/>
      </c>
      <c r="F80" s="3" t="inlineStr">
        <is>
          <t>30元</t>
        </is>
      </c>
      <c r="G80" s="3" t="inlineStr">
        <is>
          <t>修复自身操作错误不另增加金额。</t>
        </is>
      </c>
      <c r="H80" s="3" t="n"/>
    </row>
    <row r="81" ht="95" customHeight="1" s="1">
      <c r="A81" s="3" t="inlineStr">
        <is>
          <t>五点优化</t>
        </is>
      </c>
      <c r="B81" s="3" t="inlineStr">
        <is>
          <t>重写1点或重写全部五点</t>
        </is>
      </c>
      <c r="C81" s="92" t="n">
        <v>15</v>
      </c>
      <c r="D81" s="3" t="n">
        <v>1</v>
      </c>
      <c r="E81" s="92">
        <f>ROUND(C81*D81,2)</f>
        <v/>
      </c>
      <c r="F81" s="3" t="inlineStr">
        <is>
          <t>每轮每套15元</t>
        </is>
      </c>
      <c r="G81" s="3" t="inlineStr">
        <is>
          <t>复盘前追加修改并入原任务。</t>
        </is>
      </c>
      <c r="H81" s="3" t="n"/>
    </row>
    <row r="82" ht="95" customHeight="1" s="1">
      <c r="A82" s="3" t="inlineStr">
        <is>
          <t>描述优化</t>
        </is>
      </c>
      <c r="B82" s="3" t="inlineStr">
        <is>
          <t>重写一份描述</t>
        </is>
      </c>
      <c r="C82" s="92" t="n">
        <v>15</v>
      </c>
      <c r="D82" s="3" t="n">
        <v>1</v>
      </c>
      <c r="E82" s="92">
        <f>ROUND(C82*D82,2)</f>
        <v/>
      </c>
      <c r="F82" s="3" t="inlineStr">
        <is>
          <t>每份15元</t>
        </is>
      </c>
      <c r="G82" s="3" t="inlineStr">
        <is>
          <t>完成内容验收及复盘后结算。</t>
        </is>
      </c>
      <c r="H82" s="3" t="n"/>
    </row>
    <row r="83" ht="95" customHeight="1" s="1">
      <c r="A83" s="3" t="inlineStr">
        <is>
          <t>综合优化</t>
        </is>
      </c>
      <c r="B83" s="3" t="inlineStr">
        <is>
          <t>同一Listing重写标题、五点、描述、关键词并完全重做1份A+</t>
        </is>
      </c>
      <c r="C83" s="92" t="n">
        <v>125</v>
      </c>
      <c r="D83" s="3" t="n">
        <v>1</v>
      </c>
      <c r="E83" s="92">
        <f>ROUND(C83*D83,2)</f>
        <v/>
      </c>
      <c r="F83" s="3" t="inlineStr">
        <is>
          <t>10元＋15元＋15元＋10元＋75元＝125元</t>
        </is>
      </c>
      <c r="G83" s="3" t="inlineStr">
        <is>
          <t>同一方案合并登记和复盘；不得再领取A+制作发布75元。</t>
        </is>
      </c>
      <c r="H83" s="3" t="n"/>
    </row>
    <row r="84" ht="95" customHeight="1" s="1">
      <c r="A84" s="3" t="inlineStr">
        <is>
          <t>A+部分优化</t>
        </is>
      </c>
      <c r="B84" s="3" t="inlineStr">
        <is>
          <t>同一份A+实质修改3个模块</t>
        </is>
      </c>
      <c r="C84" s="92" t="n">
        <v>10</v>
      </c>
      <c r="D84" s="3" t="n">
        <v>1</v>
      </c>
      <c r="E84" s="92">
        <f>ROUND(C84*D84,2)</f>
        <v/>
      </c>
      <c r="F84" s="3" t="inlineStr">
        <is>
          <t>同一份同一轮合计10元</t>
        </is>
      </c>
      <c r="G84" s="3" t="inlineStr">
        <is>
          <t>不按模块数量累加</t>
        </is>
      </c>
      <c r="H84" s="3" t="n"/>
    </row>
    <row r="87" ht="30" customHeight="1" s="1">
      <c r="A87" s="0" t="inlineStr">
        <is>
          <t>变体关系维护：基础金额与难度系数分别选择</t>
        </is>
      </c>
    </row>
    <row r="88" ht="34" customHeight="1" s="1">
      <c r="A88" s="0" t="inlineStr">
        <is>
          <t>工作项目</t>
        </is>
      </c>
      <c r="B88" s="0" t="inlineStr">
        <is>
          <t>实际场景</t>
        </is>
      </c>
      <c r="C88" s="0" t="inlineStr">
        <is>
          <t>累计基础金额</t>
        </is>
      </c>
      <c r="D88" s="0" t="inlineStr">
        <is>
          <t>难度系数</t>
        </is>
      </c>
      <c r="E88" s="0" t="inlineStr">
        <is>
          <t>任务金额</t>
        </is>
      </c>
      <c r="F88" s="0" t="inlineStr">
        <is>
          <t>计算依据</t>
        </is>
      </c>
      <c r="G88" s="0" t="inlineStr">
        <is>
          <t>结算说明</t>
        </is>
      </c>
      <c r="H88" s="0" t="inlineStr">
        <is>
          <t>备注</t>
        </is>
      </c>
    </row>
    <row r="89" ht="105" customHeight="1" s="1">
      <c r="A89" s="0" t="inlineStr">
        <is>
          <t>变体关系维护</t>
        </is>
      </c>
      <c r="B89" s="0" t="inlineStr">
        <is>
          <t>原变体异常，需要排查后重新组合</t>
        </is>
      </c>
      <c r="C89" s="93" t="n">
        <v>40</v>
      </c>
      <c r="D89" s="22" t="n">
        <v>1.3</v>
      </c>
      <c r="E89" s="114">
        <f>ROUND(C89*D89,2)</f>
        <v/>
      </c>
      <c r="F89" s="0" t="inlineStr">
        <is>
          <t>解除原关系并重建：40元</t>
        </is>
      </c>
      <c r="G89" s="0" t="inlineStr">
        <is>
          <t>需排查确认原因：1.3</t>
        </is>
      </c>
      <c r="H89" s="0" t="inlineStr">
        <is>
          <t>40元×1.3＝52元</t>
        </is>
      </c>
    </row>
    <row r="90" ht="105" customHeight="1" s="1">
      <c r="A90" s="0" t="inlineStr">
        <is>
          <t>变体关系维护</t>
        </is>
      </c>
      <c r="B90" s="0" t="inlineStr">
        <is>
          <t>某个ASIN有问题，拆开重组；原因及方案明确</t>
        </is>
      </c>
      <c r="C90" s="93" t="n">
        <v>40</v>
      </c>
      <c r="D90" s="22" t="n">
        <v>1</v>
      </c>
      <c r="E90" s="114">
        <f>ROUND(C90*D90,2)</f>
        <v/>
      </c>
      <c r="F90" s="0" t="inlineStr">
        <is>
          <t>解除原关系并重建：40元</t>
        </is>
      </c>
      <c r="G90" s="0" t="inlineStr">
        <is>
          <t>直接按明确方案执行：1.0</t>
        </is>
      </c>
      <c r="H90" s="0" t="inlineStr">
        <is>
          <t>若需另行排查，系数1.3，计52元。</t>
        </is>
      </c>
    </row>
    <row r="91" ht="105" customHeight="1" s="1">
      <c r="A91" s="0" t="inlineStr">
        <is>
          <t>变体关系维护</t>
        </is>
      </c>
      <c r="B91" s="0" t="inlineStr">
        <is>
          <t>已上架的独立SKU加入已有变体</t>
        </is>
      </c>
      <c r="C91" s="93" t="n">
        <v>25</v>
      </c>
      <c r="D91" s="22" t="n">
        <v>1</v>
      </c>
      <c r="E91" s="114">
        <f>ROUND(C91*D91,2)</f>
        <v/>
      </c>
      <c r="F91" s="0" t="inlineStr">
        <is>
          <t>不解除旧关系，加入已有变体：25元</t>
        </is>
      </c>
      <c r="G91" s="0" t="inlineStr">
        <is>
          <t>直接执行：1.0</t>
        </is>
      </c>
      <c r="H91" s="0" t="inlineStr">
        <is>
          <t>若SKU原本属于其他父体、需解绑迁移，基础金额改为40元。</t>
        </is>
      </c>
    </row>
    <row r="92" ht="105" customHeight="1" s="1">
      <c r="A92" s="0" t="inlineStr">
        <is>
          <t>变体关系维护</t>
        </is>
      </c>
      <c r="B92" s="0" t="inlineStr">
        <is>
          <t>选项名称有误，仅修改名称即可</t>
        </is>
      </c>
      <c r="C92" s="93" t="n">
        <v>15</v>
      </c>
      <c r="D92" s="22" t="n">
        <v>1</v>
      </c>
      <c r="E92" s="114">
        <f>ROUND(C92*D92,2)</f>
        <v/>
      </c>
      <c r="F92" s="0" t="inlineStr">
        <is>
          <t>仅修正名称或属性值：15元</t>
        </is>
      </c>
      <c r="G92" s="0" t="inlineStr">
        <is>
          <t>原因及方案明确：1.0</t>
        </is>
      </c>
      <c r="H92" s="0" t="inlineStr">
        <is>
          <t>不需要解除或重建关系。</t>
        </is>
      </c>
    </row>
    <row r="93" ht="105" customHeight="1" s="1">
      <c r="A93" s="0" t="inlineStr">
        <is>
          <t>变体关系维护</t>
        </is>
      </c>
      <c r="B93" s="0" t="inlineStr">
        <is>
          <t>选项名称有误，必须拆开重建；方案明确</t>
        </is>
      </c>
      <c r="C93" s="93" t="n">
        <v>40</v>
      </c>
      <c r="D93" s="22" t="n">
        <v>1</v>
      </c>
      <c r="E93" s="114">
        <f>ROUND(C93*D93,2)</f>
        <v/>
      </c>
      <c r="F93" s="0" t="inlineStr">
        <is>
          <t>解除并重建关系：40元</t>
        </is>
      </c>
      <c r="G93" s="0" t="inlineStr">
        <is>
          <t>直接按明确方案执行：1.0</t>
        </is>
      </c>
      <c r="H93" s="0" t="inlineStr">
        <is>
          <t>不再叠加名称修改15元。</t>
        </is>
      </c>
    </row>
    <row r="94" ht="105" customHeight="1" s="1">
      <c r="A94" s="0" t="inlineStr">
        <is>
          <t>变体关系维护</t>
        </is>
      </c>
      <c r="B94" s="0" t="inlineStr">
        <is>
          <t>原来独立的已上架商品，现在组成一个新变体</t>
        </is>
      </c>
      <c r="C94" s="93" t="n">
        <v>40</v>
      </c>
      <c r="D94" s="22" t="n">
        <v>1</v>
      </c>
      <c r="E94" s="114">
        <f>ROUND(C94*D94,2)</f>
        <v/>
      </c>
      <c r="F94" s="0" t="inlineStr">
        <is>
          <t>建立新变体：40元</t>
        </is>
      </c>
      <c r="G94" s="0" t="inlineStr">
        <is>
          <t>资料齐全、方案明确：1.0</t>
        </is>
      </c>
      <c r="H94" s="0" t="inlineStr">
        <is>
          <t>多个SKU共同组成同一变体，只计一个方案。</t>
        </is>
      </c>
    </row>
    <row r="95" ht="105" customHeight="1" s="1">
      <c r="A95" s="0" t="inlineStr">
        <is>
          <t>变体关系维护</t>
        </is>
      </c>
      <c r="B95" s="0" t="inlineStr">
        <is>
          <t>排查异常后，在两个及以上父体之间拆分、迁移或重建</t>
        </is>
      </c>
      <c r="C95" s="93" t="n">
        <v>40</v>
      </c>
      <c r="D95" s="22" t="n">
        <v>1.6</v>
      </c>
      <c r="E95" s="114">
        <f>ROUND(C95*D95,2)</f>
        <v/>
      </c>
      <c r="F95" s="0" t="inlineStr">
        <is>
          <t>解除原关系或重建：40元</t>
        </is>
      </c>
      <c r="G95" s="0" t="inlineStr">
        <is>
          <t>需排查，且跨两个及以上父体处理：1.6</t>
        </is>
      </c>
      <c r="H95" s="0" t="inlineStr">
        <is>
          <t>整套方案64元，不按父体分别领取完整金额。</t>
        </is>
      </c>
    </row>
    <row r="98" ht="30" customHeight="1" s="1">
      <c r="A98" s="0" t="inlineStr">
        <is>
          <t>A+内容增删修改与视频信息维护补充案例</t>
        </is>
      </c>
    </row>
    <row r="99" ht="34" customHeight="1" s="1">
      <c r="A99" s="0" t="inlineStr">
        <is>
          <t>工作项目</t>
        </is>
      </c>
      <c r="B99" s="0" t="inlineStr">
        <is>
          <t>实际场景</t>
        </is>
      </c>
      <c r="C99" s="0" t="inlineStr">
        <is>
          <t>累计基础金额</t>
        </is>
      </c>
      <c r="D99" s="0" t="inlineStr">
        <is>
          <t>难度系数</t>
        </is>
      </c>
      <c r="E99" s="0" t="inlineStr">
        <is>
          <t>任务金额</t>
        </is>
      </c>
      <c r="F99" s="0" t="inlineStr">
        <is>
          <t>计算依据</t>
        </is>
      </c>
      <c r="G99" s="0" t="inlineStr">
        <is>
          <t>结算说明</t>
        </is>
      </c>
      <c r="H99" s="0" t="inlineStr">
        <is>
          <t>备注</t>
        </is>
      </c>
    </row>
    <row r="100" ht="105" customHeight="1" s="1">
      <c r="A100" s="0" t="inlineStr">
        <is>
          <t>A+内容增删修改</t>
        </is>
      </c>
      <c r="B100" s="0" t="inlineStr">
        <is>
          <t>同一模块增加两项参数</t>
        </is>
      </c>
      <c r="C100" s="114" t="n">
        <v>10</v>
      </c>
      <c r="D100" s="0" t="n">
        <v>1</v>
      </c>
      <c r="E100" s="114">
        <f>ROUND(C100*D100,2)</f>
        <v/>
      </c>
      <c r="F100" s="0" t="inlineStr">
        <is>
          <t>同模块多处修改计入本轮10元</t>
        </is>
      </c>
      <c r="G100" s="0" t="inlineStr">
        <is>
          <t>同一份同一轮合计10元，不按模块数量累加</t>
        </is>
      </c>
      <c r="H100" s="0" t="n"/>
    </row>
    <row r="101" ht="105" customHeight="1" s="1">
      <c r="A101" s="0" t="inlineStr">
        <is>
          <t>A+内容增删修改</t>
        </is>
      </c>
      <c r="B101" s="0" t="inlineStr">
        <is>
          <t>一个模块增加信息，另一个模块删除信息</t>
        </is>
      </c>
      <c r="C101" s="114" t="n">
        <v>10</v>
      </c>
      <c r="D101" s="0" t="n">
        <v>1</v>
      </c>
      <c r="E101" s="114">
        <f>ROUND(C101*D101,2)</f>
        <v/>
      </c>
      <c r="F101" s="0" t="inlineStr">
        <is>
          <t>同一份同一轮合计10元</t>
        </is>
      </c>
      <c r="G101" s="0" t="inlineStr">
        <is>
          <t>不按模块数量累加</t>
        </is>
      </c>
      <c r="H101" s="0" t="n"/>
    </row>
    <row r="102" ht="105" customHeight="1" s="1">
      <c r="A102" s="0" t="inlineStr">
        <is>
          <t>视频上传与信息维护</t>
        </is>
      </c>
      <c r="B102" s="0" t="inlineStr">
        <is>
          <t>修改1个已有视频的标题等信息</t>
        </is>
      </c>
      <c r="C102" s="114" t="n">
        <v>5</v>
      </c>
      <c r="D102" s="0" t="n">
        <v>1</v>
      </c>
      <c r="E102" s="114">
        <f>ROUND(C102*D102,2)</f>
        <v/>
      </c>
      <c r="F102" s="0" t="inlineStr">
        <is>
          <t>每个视频每轮5元</t>
        </is>
      </c>
      <c r="G102" s="0" t="inlineStr">
        <is>
          <t>同时修改多处信息不重复计费</t>
        </is>
      </c>
      <c r="H102" s="0" t="n"/>
    </row>
    <row r="103" ht="105" customHeight="1" s="1">
      <c r="A103" s="0" t="inlineStr">
        <is>
          <t>视频上传与信息维护</t>
        </is>
      </c>
      <c r="B103" s="0" t="inlineStr">
        <is>
          <t>替换上传1个视频，并填写标题及首次绑定ASIN</t>
        </is>
      </c>
      <c r="C103" s="114" t="n">
        <v>15</v>
      </c>
      <c r="D103" s="0" t="n">
        <v>1</v>
      </c>
      <c r="E103" s="114">
        <f>ROUND(C103*D103,2)</f>
        <v/>
      </c>
      <c r="F103" s="0" t="inlineStr">
        <is>
          <t>上传或替换15元</t>
        </is>
      </c>
      <c r="G103" s="0" t="inlineStr">
        <is>
          <t>不叠加标题修改或首次绑定金额</t>
        </is>
      </c>
      <c r="H103" s="0" t="n"/>
    </row>
    <row r="104" ht="105" customHeight="1" s="1">
      <c r="A104" s="0" t="inlineStr">
        <is>
          <t>视频上传与信息维护</t>
        </is>
      </c>
      <c r="B104" s="0" t="inlineStr">
        <is>
          <t>已有视频改标题，并新增1个SKU对应ASIN</t>
        </is>
      </c>
      <c r="C104" s="114" t="n">
        <v>10</v>
      </c>
      <c r="D104" s="0" t="n">
        <v>1</v>
      </c>
      <c r="E104" s="114">
        <f>ROUND(C104*D104,2)</f>
        <v/>
      </c>
      <c r="F104" s="0" t="inlineStr">
        <is>
          <t>标题5元＋绑定5元</t>
        </is>
      </c>
      <c r="G104" s="0" t="inlineStr">
        <is>
          <t>同视频同轮任务</t>
        </is>
      </c>
      <c r="H104" s="0" t="n"/>
    </row>
    <row r="105" ht="105" customHeight="1" s="1">
      <c r="A105" s="0" t="inlineStr">
        <is>
          <t>视频上传与信息维护</t>
        </is>
      </c>
      <c r="B105" s="0" t="inlineStr">
        <is>
          <t>已有视频改标题，并新增5个SKU对应ASIN</t>
        </is>
      </c>
      <c r="C105" s="114" t="n">
        <v>15</v>
      </c>
      <c r="D105" s="0" t="n">
        <v>1</v>
      </c>
      <c r="E105" s="114">
        <f>ROUND(C105*D105,2)</f>
        <v/>
      </c>
      <c r="F105" s="0" t="inlineStr">
        <is>
          <t>标题5元＋绑定10元</t>
        </is>
      </c>
      <c r="G105" s="0" t="inlineStr">
        <is>
          <t>多个ASIN共用同一已有视频</t>
        </is>
      </c>
      <c r="H105" s="0" t="n"/>
    </row>
    <row r="106" ht="105" customHeight="1" s="1">
      <c r="A106" s="0" t="inlineStr">
        <is>
          <t>视频上传与信息维护</t>
        </is>
      </c>
      <c r="B106" s="0" t="inlineStr">
        <is>
          <t>上传失败后的重试或重复上传同一文件</t>
        </is>
      </c>
      <c r="C106" s="114" t="n">
        <v>0</v>
      </c>
      <c r="D106" s="0" t="n">
        <v>1</v>
      </c>
      <c r="E106" s="114">
        <f>ROUND(C106*D106,2)</f>
        <v/>
      </c>
      <c r="F106" s="0" t="inlineStr">
        <is>
          <t>不新增金额</t>
        </is>
      </c>
      <c r="G106" s="0" t="inlineStr">
        <is>
          <t>并入原任务，不单独计费</t>
        </is>
      </c>
      <c r="H106" s="0" t="n"/>
    </row>
    <row r="109" ht="30" customHeight="1" s="1">
      <c r="A109" s="0" t="inlineStr">
        <is>
          <t>价格调整、Coupon与Promotion创建及主动改善计费示例</t>
        </is>
      </c>
    </row>
    <row r="110" ht="34" customHeight="1" s="1">
      <c r="A110" s="0" t="inlineStr">
        <is>
          <t>工作项目</t>
        </is>
      </c>
      <c r="B110" s="0" t="inlineStr">
        <is>
          <t>实际场景</t>
        </is>
      </c>
      <c r="C110" s="0" t="inlineStr">
        <is>
          <t>累计基础金额</t>
        </is>
      </c>
      <c r="D110" s="0" t="inlineStr">
        <is>
          <t>难度系数</t>
        </is>
      </c>
      <c r="E110" s="0" t="inlineStr">
        <is>
          <t>任务金额</t>
        </is>
      </c>
      <c r="F110" s="0" t="inlineStr">
        <is>
          <t>计算依据</t>
        </is>
      </c>
      <c r="G110" s="0" t="inlineStr">
        <is>
          <t>结算说明</t>
        </is>
      </c>
      <c r="H110" s="0" t="inlineStr">
        <is>
          <t>备注</t>
        </is>
      </c>
    </row>
    <row r="111" ht="105" customHeight="1" s="1">
      <c r="A111" s="0" t="inlineStr">
        <is>
          <t>价格调整</t>
        </is>
      </c>
      <c r="B111" s="0" t="inlineStr">
        <is>
          <t>一次安排10个SKU按各自指定价格调整</t>
        </is>
      </c>
      <c r="C111" s="114" t="n">
        <v>15</v>
      </c>
      <c r="D111" s="0" t="n">
        <v>1</v>
      </c>
      <c r="E111" s="114" t="n">
        <v>15</v>
      </c>
      <c r="F111" s="0" t="inlineStr">
        <is>
          <t>同次安排计一批</t>
        </is>
      </c>
      <c r="G111" s="0" t="inlineStr">
        <is>
          <t>OA拆分不增加批次</t>
        </is>
      </c>
      <c r="H111" s="0" t="n"/>
    </row>
    <row r="112" ht="105" customHeight="1" s="1">
      <c r="A112" s="0" t="inlineStr">
        <is>
          <t>Coupon与Promotion创建</t>
        </is>
      </c>
      <c r="B112" s="0" t="inlineStr">
        <is>
          <t>创建1个Coupon，含20个SKU</t>
        </is>
      </c>
      <c r="C112" s="114" t="n">
        <v>15</v>
      </c>
      <c r="D112" s="0" t="n">
        <v>1</v>
      </c>
      <c r="E112" s="114" t="n">
        <v>15</v>
      </c>
      <c r="F112" s="0" t="inlineStr">
        <is>
          <t>每个独立活动15元</t>
        </is>
      </c>
      <c r="G112" s="0" t="inlineStr">
        <is>
          <t>不按SKU数量增加</t>
        </is>
      </c>
      <c r="H112" s="0" t="n"/>
    </row>
    <row r="113" ht="105" customHeight="1" s="1">
      <c r="A113" s="0" t="inlineStr">
        <is>
          <t>Coupon与Promotion创建</t>
        </is>
      </c>
      <c r="B113" s="0" t="inlineStr">
        <is>
          <t>创建3个Coupon和2个Promotion</t>
        </is>
      </c>
      <c r="C113" s="114" t="n">
        <v>75</v>
      </c>
      <c r="D113" s="0" t="n">
        <v>1</v>
      </c>
      <c r="E113" s="114" t="n">
        <v>75</v>
      </c>
      <c r="F113" s="0" t="inlineStr">
        <is>
          <t>5×15元</t>
        </is>
      </c>
      <c r="G113" s="0" t="inlineStr">
        <is>
          <t>实际需要分别创建的5个活动</t>
        </is>
      </c>
      <c r="H113" s="0" t="n"/>
    </row>
    <row r="114" ht="105" customHeight="1" s="1">
      <c r="A114" s="0" t="inlineStr">
        <is>
          <t>主动Buy Box处理</t>
        </is>
      </c>
      <c r="B114" s="0" t="inlineStr">
        <is>
          <t>主动发现并完成3个不同ASIN的Buy Box处理，均验收且符合1.5倍条件</t>
        </is>
      </c>
      <c r="C114" s="114" t="n">
        <v>45</v>
      </c>
      <c r="D114" s="0" t="n">
        <v>1</v>
      </c>
      <c r="E114" s="114">
        <f>ROUND(C114*D114*1.5,2)</f>
        <v/>
      </c>
      <c r="F114" s="0" t="inlineStr">
        <is>
          <t>正常金额3×15元，再乘主动倍率1.5</t>
        </is>
      </c>
      <c r="G114" s="0" t="inlineStr">
        <is>
          <t>按对应任务实际完成及验收认定</t>
        </is>
      </c>
      <c r="H114" s="0" t="inlineStr">
        <is>
          <t>此例主动倍率已在E列公式中计算，不再重复乘。</t>
        </is>
      </c>
    </row>
    <row r="117" ht="30" customHeight="1" s="1">
      <c r="A117" s="0" t="inlineStr">
        <is>
          <t>Buy Box异常处理：基础15元/ASIN，处理验收与恢复结果分开记录</t>
        </is>
      </c>
    </row>
    <row r="118" ht="34" customHeight="1" s="1">
      <c r="A118" s="0" t="inlineStr">
        <is>
          <t>工作项目</t>
        </is>
      </c>
      <c r="B118" s="0" t="inlineStr">
        <is>
          <t>实际场景</t>
        </is>
      </c>
      <c r="C118" s="0" t="inlineStr">
        <is>
          <t>累计基础金额</t>
        </is>
      </c>
      <c r="D118" s="0" t="inlineStr">
        <is>
          <t>难度系数</t>
        </is>
      </c>
      <c r="E118" s="0" t="inlineStr">
        <is>
          <t>任务金额</t>
        </is>
      </c>
      <c r="F118" s="0" t="inlineStr">
        <is>
          <t>计算依据</t>
        </is>
      </c>
      <c r="G118" s="0" t="inlineStr">
        <is>
          <t>结算说明</t>
        </is>
      </c>
      <c r="H118" s="0" t="inlineStr">
        <is>
          <t>备注</t>
        </is>
      </c>
    </row>
    <row r="119" ht="105" customHeight="1" s="1">
      <c r="A119" s="0" t="inlineStr">
        <is>
          <t>Buy Box异常处理</t>
        </is>
      </c>
      <c r="B119" s="0" t="inlineStr">
        <is>
          <t>同站点1个ASIN：首次开Case后恢复</t>
        </is>
      </c>
      <c r="C119" s="114" t="n">
        <v>15</v>
      </c>
      <c r="D119" s="0" t="n">
        <v>1</v>
      </c>
      <c r="E119" s="114" t="n">
        <v>15</v>
      </c>
      <c r="F119" s="0" t="inlineStr">
        <is>
          <t>完成规定处理及恢复核验</t>
        </is>
      </c>
      <c r="G119" s="0" t="inlineStr">
        <is>
          <t>15元</t>
        </is>
      </c>
      <c r="H119" s="0" t="n"/>
    </row>
    <row r="120" ht="105" customHeight="1" s="1">
      <c r="A120" s="0" t="inlineStr">
        <is>
          <t>Buy Box异常处理</t>
        </is>
      </c>
      <c r="B120" s="0" t="inlineStr">
        <is>
          <t>同站点1个ASIN：多次开Case后恢复</t>
        </is>
      </c>
      <c r="C120" s="114" t="n">
        <v>15</v>
      </c>
      <c r="D120" s="0" t="n">
        <v>1</v>
      </c>
      <c r="E120" s="114" t="n">
        <v>15</v>
      </c>
      <c r="F120" s="0" t="inlineStr">
        <is>
          <t>同一站点同一ASIN同一异常合并计费</t>
        </is>
      </c>
      <c r="G120" s="0" t="inlineStr">
        <is>
          <t>不按Case数量增加金额</t>
        </is>
      </c>
      <c r="H120" s="0" t="n"/>
    </row>
    <row r="121" ht="105" customHeight="1" s="1">
      <c r="A121" s="0" t="inlineStr">
        <is>
          <t>Buy Box异常处理</t>
        </is>
      </c>
      <c r="B121" s="0" t="inlineStr">
        <is>
          <t>同站点1个ASIN：未恢复，经负责人确认阶段结案</t>
        </is>
      </c>
      <c r="C121" s="114" t="n">
        <v>15</v>
      </c>
      <c r="D121" s="0" t="n">
        <v>1</v>
      </c>
      <c r="E121" s="114" t="n">
        <v>15</v>
      </c>
      <c r="F121" s="0" t="inlineStr">
        <is>
          <t>取证截图、Case编号及最终回复齐全</t>
        </is>
      </c>
      <c r="G121" s="0" t="inlineStr">
        <is>
          <t>恢复状态仍记“未恢复”，不是“已解决”</t>
        </is>
      </c>
      <c r="H121" s="0" t="n"/>
    </row>
    <row r="122" ht="105" customHeight="1" s="1">
      <c r="A122" s="0" t="inlineStr">
        <is>
          <t>Buy Box异常处理</t>
        </is>
      </c>
      <c r="B122" s="0" t="inlineStr">
        <is>
          <t>同站点1个ASIN：未恢复，仍在处理中</t>
        </is>
      </c>
      <c r="D122" s="0" t="n">
        <v>1</v>
      </c>
      <c r="E122" s="0">
        <f>IF(ISNUMBER(C122),ROUND(C122*D122,2),"")</f>
        <v/>
      </c>
      <c r="F122" s="0" t="inlineStr">
        <is>
          <t>未完成验收，暂不结算</t>
        </is>
      </c>
      <c r="G122" s="0" t="inlineStr">
        <is>
          <t>金额留空表示待结算，不是任务定为0元</t>
        </is>
      </c>
      <c r="H122" s="0" t="n"/>
    </row>
    <row r="123" ht="105" customHeight="1" s="1">
      <c r="A123" s="0" t="inlineStr">
        <is>
          <t>Buy Box异常处理</t>
        </is>
      </c>
      <c r="B123" s="0" t="inlineStr">
        <is>
          <t>同站点1个ASIN：已阶段结案计15元，后续同一异常恢复</t>
        </is>
      </c>
      <c r="C123" s="114" t="n">
        <v>0</v>
      </c>
      <c r="D123" s="0" t="n">
        <v>1</v>
      </c>
      <c r="E123" s="114" t="n">
        <v>0</v>
      </c>
      <c r="F123" s="0" t="inlineStr">
        <is>
          <t>本次不新增金额</t>
        </is>
      </c>
      <c r="G123" s="0" t="inlineStr">
        <is>
          <t>同一站点同一ASIN同一异常基础金额累计15元</t>
        </is>
      </c>
      <c r="H123" s="0" t="n"/>
    </row>
    <row r="126" ht="30" customHeight="1" s="1">
      <c r="A126" s="0" t="inlineStr">
        <is>
          <t>Deal提报及促销报错的计费边界</t>
        </is>
      </c>
    </row>
    <row r="127" ht="34" customHeight="1" s="1">
      <c r="A127" s="0" t="inlineStr">
        <is>
          <t>工作项目</t>
        </is>
      </c>
      <c r="B127" s="0" t="inlineStr">
        <is>
          <t>实际场景</t>
        </is>
      </c>
      <c r="C127" s="0" t="inlineStr">
        <is>
          <t>累计基础金额</t>
        </is>
      </c>
      <c r="D127" s="0" t="inlineStr">
        <is>
          <t>难度系数</t>
        </is>
      </c>
      <c r="E127" s="0" t="inlineStr">
        <is>
          <t>任务金额</t>
        </is>
      </c>
      <c r="F127" s="0" t="inlineStr">
        <is>
          <t>计算依据</t>
        </is>
      </c>
      <c r="G127" s="0" t="inlineStr">
        <is>
          <t>结算说明</t>
        </is>
      </c>
      <c r="H127" s="0" t="inlineStr">
        <is>
          <t>备注</t>
        </is>
      </c>
    </row>
    <row r="128" ht="105" customHeight="1" s="1">
      <c r="A128" s="0" t="inlineStr">
        <is>
          <t>Deal活动提报</t>
        </is>
      </c>
      <c r="B128" s="0" t="inlineStr">
        <is>
          <t>提报1个独立Deal，包含多个SKU</t>
        </is>
      </c>
      <c r="C128" s="114" t="n">
        <v>10</v>
      </c>
      <c r="D128" s="0" t="n">
        <v>1</v>
      </c>
      <c r="E128" s="114" t="n">
        <v>10</v>
      </c>
      <c r="F128" s="0" t="inlineStr">
        <is>
          <t>每Deal10元</t>
        </is>
      </c>
      <c r="G128" s="0" t="inlineStr">
        <is>
          <t>完成提报及提交结果核验，审批状态单独记录</t>
        </is>
      </c>
      <c r="H128" s="0" t="n"/>
    </row>
    <row r="129" ht="105" customHeight="1" s="1">
      <c r="A129" s="0" t="inlineStr">
        <is>
          <t>Deal活动提报</t>
        </is>
      </c>
      <c r="B129" s="0" t="inlineStr">
        <is>
          <t>提报5个独立Deal</t>
        </is>
      </c>
      <c r="C129" s="114" t="n">
        <v>50</v>
      </c>
      <c r="D129" s="0" t="n">
        <v>1</v>
      </c>
      <c r="E129" s="114" t="n">
        <v>50</v>
      </c>
      <c r="F129" s="0" t="inlineStr">
        <is>
          <t>50元</t>
        </is>
      </c>
      <c r="G129" s="0" t="inlineStr">
        <is>
          <t>不按商品数增加</t>
        </is>
      </c>
      <c r="H129" s="0" t="n"/>
    </row>
    <row r="130" ht="105" customHeight="1" s="1">
      <c r="A130" s="0" t="inlineStr">
        <is>
          <t>Coupon与Promotion创建</t>
        </is>
      </c>
      <c r="B130" s="0" t="inlineStr">
        <is>
          <t>1个活动创建中报错，修正后重新提交并核验</t>
        </is>
      </c>
      <c r="C130" s="114" t="n">
        <v>15</v>
      </c>
      <c r="D130" s="0" t="n">
        <v>1</v>
      </c>
      <c r="E130" s="114" t="n">
        <v>15</v>
      </c>
      <c r="F130" s="0" t="inlineStr">
        <is>
          <t>原活动总计15元</t>
        </is>
      </c>
      <c r="G130" s="0" t="inlineStr">
        <is>
          <t>报错修正及重试不另计费</t>
        </is>
      </c>
      <c r="H130" s="0" t="n"/>
    </row>
    <row r="131" ht="105" customHeight="1" s="1">
      <c r="A131" s="0" t="inlineStr">
        <is>
          <t>Deal活动提报</t>
        </is>
      </c>
      <c r="B131" s="0" t="inlineStr">
        <is>
          <t>同一Deal提交失败，修正参数后重新提报并核验</t>
        </is>
      </c>
      <c r="C131" s="114" t="n">
        <v>10</v>
      </c>
      <c r="D131" s="0" t="n">
        <v>1</v>
      </c>
      <c r="E131" s="114" t="n">
        <v>10</v>
      </c>
      <c r="F131" s="0" t="inlineStr">
        <is>
          <t>原Deal总计10元</t>
        </is>
      </c>
      <c r="G131" s="0" t="inlineStr">
        <is>
          <t>不另计异常处理金额</t>
        </is>
      </c>
      <c r="H131" s="0" t="n"/>
    </row>
    <row r="134" ht="30" customHeight="1" s="1">
      <c r="A134" s="0" t="inlineStr">
        <is>
          <t>广告创建：按Campaign计费，关联Ads Change认领记录</t>
        </is>
      </c>
    </row>
    <row r="135" ht="34" customHeight="1" s="1">
      <c r="A135" s="0" t="inlineStr">
        <is>
          <t>工作项目</t>
        </is>
      </c>
      <c r="B135" s="0" t="inlineStr">
        <is>
          <t>实际场景</t>
        </is>
      </c>
      <c r="C135" s="0" t="inlineStr">
        <is>
          <t>累计基础金额</t>
        </is>
      </c>
      <c r="D135" s="0" t="inlineStr">
        <is>
          <t>难度系数</t>
        </is>
      </c>
      <c r="E135" s="0" t="inlineStr">
        <is>
          <t>任务金额</t>
        </is>
      </c>
      <c r="F135" s="0" t="inlineStr">
        <is>
          <t>计算依据</t>
        </is>
      </c>
      <c r="G135" s="0" t="inlineStr">
        <is>
          <t>结算说明</t>
        </is>
      </c>
      <c r="H135" s="0" t="inlineStr">
        <is>
          <t>备注</t>
        </is>
      </c>
    </row>
    <row r="136" ht="105" customHeight="1" s="1">
      <c r="A136" s="0" t="inlineStr">
        <is>
          <t>SP广告创建</t>
        </is>
      </c>
      <c r="B136" s="0" t="inlineStr">
        <is>
          <t>创建3个独立SP Campaign</t>
        </is>
      </c>
      <c r="C136" s="114" t="n">
        <v>45</v>
      </c>
      <c r="D136" s="0" t="n">
        <v>1</v>
      </c>
      <c r="E136" s="114" t="n">
        <v>45</v>
      </c>
      <c r="F136" s="0" t="inlineStr">
        <is>
          <t>3×15元</t>
        </is>
      </c>
      <c r="G136" s="0" t="inlineStr">
        <is>
          <t>认领变化、关联任务、填写原因并核验后计费</t>
        </is>
      </c>
      <c r="H136" s="0" t="inlineStr">
        <is>
          <t>自主发起按正常金额×主动倍率计算</t>
        </is>
      </c>
    </row>
    <row r="137" ht="105" customHeight="1" s="1">
      <c r="A137" s="0" t="inlineStr">
        <is>
          <t>SB广告创建</t>
        </is>
      </c>
      <c r="B137" s="0" t="inlineStr">
        <is>
          <t>创建3个独立SB Campaign</t>
        </is>
      </c>
      <c r="C137" s="114" t="n">
        <v>60</v>
      </c>
      <c r="D137" s="0" t="n">
        <v>1</v>
      </c>
      <c r="E137" s="114" t="n">
        <v>60</v>
      </c>
      <c r="F137" s="0" t="inlineStr">
        <is>
          <t>3×20元</t>
        </is>
      </c>
      <c r="G137" s="0" t="inlineStr">
        <is>
          <t>认领变化、关联任务、填写原因并核验后计费</t>
        </is>
      </c>
      <c r="H137" s="0" t="inlineStr">
        <is>
          <t>自主发起按正常金额×主动倍率计算</t>
        </is>
      </c>
    </row>
    <row r="138" ht="105" customHeight="1" s="1">
      <c r="A138" s="0" t="inlineStr">
        <is>
          <t>SBV广告创建</t>
        </is>
      </c>
      <c r="B138" s="0" t="inlineStr">
        <is>
          <t>创建1个SBV Campaign</t>
        </is>
      </c>
      <c r="C138" s="114" t="n">
        <v>20</v>
      </c>
      <c r="D138" s="0" t="n">
        <v>1</v>
      </c>
      <c r="E138" s="114" t="n">
        <v>20</v>
      </c>
      <c r="F138" s="0" t="inlineStr">
        <is>
          <t>只计SBV，不同时计SB</t>
        </is>
      </c>
      <c r="G138" s="0" t="inlineStr">
        <is>
          <t>认领变化、关联任务、填写原因并核验后计费</t>
        </is>
      </c>
      <c r="H138" s="0" t="inlineStr">
        <is>
          <t>自主发起按正常金额×主动倍率计算</t>
        </is>
      </c>
    </row>
    <row r="139" ht="105" customHeight="1" s="1">
      <c r="A139" s="0" t="inlineStr">
        <is>
          <t>SD广告创建</t>
        </is>
      </c>
      <c r="B139" s="0" t="inlineStr">
        <is>
          <t>创建1个SD Campaign</t>
        </is>
      </c>
      <c r="C139" s="114" t="n">
        <v>20</v>
      </c>
      <c r="D139" s="0" t="n">
        <v>1</v>
      </c>
      <c r="E139" s="114" t="n">
        <v>20</v>
      </c>
      <c r="F139" s="0" t="inlineStr">
        <is>
          <t>不按目标或素材数增加金额</t>
        </is>
      </c>
      <c r="G139" s="0" t="inlineStr">
        <is>
          <t>认领变化、关联任务、填写原因并核验后计费</t>
        </is>
      </c>
      <c r="H139" s="0" t="inlineStr">
        <is>
          <t>自主发起按正常金额×主动倍率计算</t>
        </is>
      </c>
    </row>
    <row r="140" ht="105" customHeight="1" s="1">
      <c r="A140" s="0" t="inlineStr">
        <is>
          <t>SP广告创建</t>
        </is>
      </c>
      <c r="B140" s="0" t="inlineStr">
        <is>
          <t>1个SP Campaign产生多条Ads Change记录</t>
        </is>
      </c>
      <c r="C140" s="114" t="n">
        <v>15</v>
      </c>
      <c r="D140" s="0" t="n">
        <v>1</v>
      </c>
      <c r="E140" s="114" t="n">
        <v>15</v>
      </c>
      <c r="F140" s="0" t="inlineStr">
        <is>
          <t>按Campaign ID去重，只计一次</t>
        </is>
      </c>
      <c r="G140" s="0" t="inlineStr">
        <is>
          <t>认领变化、关联任务、填写原因并核验后计费</t>
        </is>
      </c>
      <c r="H140" s="0" t="inlineStr">
        <is>
          <t>自主发起按正常金额×主动倍率计算</t>
        </is>
      </c>
    </row>
    <row r="143" ht="30" customHeight="1" s="1">
      <c r="A143" s="24" t="inlineStr">
        <is>
          <t>广告执行调整：按Campaign×调整次数计费</t>
        </is>
      </c>
    </row>
    <row r="144" ht="34" customHeight="1" s="1">
      <c r="A144" s="25" t="inlineStr">
        <is>
          <t>工作项目</t>
        </is>
      </c>
      <c r="B144" s="25" t="inlineStr">
        <is>
          <t>实际场景</t>
        </is>
      </c>
      <c r="C144" s="25" t="inlineStr">
        <is>
          <t>累计基础金额</t>
        </is>
      </c>
      <c r="D144" s="25" t="inlineStr">
        <is>
          <t>难度系数</t>
        </is>
      </c>
      <c r="E144" s="25" t="inlineStr">
        <is>
          <t>任务金额</t>
        </is>
      </c>
      <c r="F144" s="25" t="inlineStr">
        <is>
          <t>计算依据</t>
        </is>
      </c>
      <c r="G144" s="25" t="inlineStr">
        <is>
          <t>结算说明</t>
        </is>
      </c>
      <c r="H144" s="25" t="inlineStr">
        <is>
          <t>备注</t>
        </is>
      </c>
    </row>
    <row r="145" ht="105" customHeight="1" s="1">
      <c r="A145" s="26" t="inlineStr">
        <is>
          <t>广告执行调整</t>
        </is>
      </c>
      <c r="B145" s="26" t="inlineStr">
        <is>
          <t>同一周对Campaign A调整Bid 1次</t>
        </is>
      </c>
      <c r="C145" s="95" t="n">
        <v>10</v>
      </c>
      <c r="D145" s="27" t="n">
        <v>1</v>
      </c>
      <c r="E145" s="95" t="n">
        <v>10</v>
      </c>
      <c r="F145" s="26" t="inlineStr">
        <is>
          <t>1个Campaign×1次＝10元</t>
        </is>
      </c>
      <c r="G145" s="26" t="inlineStr">
        <is>
          <t>关联Ads Change，记录原因并核验</t>
        </is>
      </c>
      <c r="H145" s="26" t="inlineStr">
        <is>
          <t>周内还可再计1次</t>
        </is>
      </c>
    </row>
    <row r="146" ht="105" customHeight="1" s="1">
      <c r="A146" s="26" t="inlineStr">
        <is>
          <t>广告执行调整</t>
        </is>
      </c>
      <c r="B146" s="26" t="inlineStr">
        <is>
          <t>同一周对Campaign A先调否定词，复查后再调Bid（2次）</t>
        </is>
      </c>
      <c r="C146" s="95" t="n">
        <v>20</v>
      </c>
      <c r="D146" s="27" t="n">
        <v>1</v>
      </c>
      <c r="E146" s="95" t="n">
        <v>20</v>
      </c>
      <c r="F146" s="26" t="inlineStr">
        <is>
          <t>1个Campaign×2次＝20元</t>
        </is>
      </c>
      <c r="G146" s="26" t="inlineStr">
        <is>
          <t>第2次须有复查依据或新问题依据</t>
        </is>
      </c>
      <c r="H146" s="26" t="inlineStr">
        <is>
          <t>已达周上限，本周不再计费</t>
        </is>
      </c>
    </row>
    <row r="147" ht="105" customHeight="1" s="1">
      <c r="A147" s="26" t="inlineStr">
        <is>
          <t>广告执行调整</t>
        </is>
      </c>
      <c r="B147" s="26" t="inlineStr">
        <is>
          <t>同一次调整同时改否定词＋Bid＋商品投放</t>
        </is>
      </c>
      <c r="C147" s="95" t="n">
        <v>10</v>
      </c>
      <c r="D147" s="27" t="n">
        <v>1</v>
      </c>
      <c r="E147" s="95" t="n">
        <v>10</v>
      </c>
      <c r="F147" s="26" t="inlineStr">
        <is>
          <t>同一次多种动作合计1次＝10元</t>
        </is>
      </c>
      <c r="G147" s="26" t="inlineStr">
        <is>
          <t>不按调整类型拆分</t>
        </is>
      </c>
      <c r="H147" s="26" t="inlineStr">
        <is>
          <t>可关联多条Ads Change记录</t>
        </is>
      </c>
    </row>
    <row r="148" ht="105" customHeight="1" s="1">
      <c r="A148" s="26" t="inlineStr">
        <is>
          <t>广告执行调整</t>
        </is>
      </c>
      <c r="B148" s="26" t="inlineStr">
        <is>
          <t>同一周：A调整2次、B调整1次、C调整3次</t>
        </is>
      </c>
      <c r="C148" s="95" t="n">
        <v>50</v>
      </c>
      <c r="D148" s="27" t="n">
        <v>1</v>
      </c>
      <c r="E148" s="95" t="n">
        <v>50</v>
      </c>
      <c r="F148" s="26" t="inlineStr">
        <is>
          <t>A＝20元、B＝10元、C＝20元；合计50元</t>
        </is>
      </c>
      <c r="G148" s="26" t="inlineStr">
        <is>
          <t>C的第3次超出周上限不计费</t>
        </is>
      </c>
      <c r="H148" s="26" t="inlineStr">
        <is>
          <t>不同Campaign分别计费，各自2次上限</t>
        </is>
      </c>
    </row>
    <row r="149">
      <c r="A149" s="26" t="inlineStr">
        <is>
          <t>广告执行调整</t>
        </is>
      </c>
      <c r="B149" s="26" t="inlineStr">
        <is>
          <t>拆分同一次调整为多条提交</t>
        </is>
      </c>
      <c r="C149" s="95" t="n">
        <v>10</v>
      </c>
      <c r="D149" s="27" t="n">
        <v>1</v>
      </c>
      <c r="E149" s="95" t="n">
        <v>10</v>
      </c>
      <c r="F149" s="26" t="inlineStr">
        <is>
          <t>拆分操作不另算</t>
        </is>
      </c>
      <c r="G149" s="26" t="inlineStr">
        <is>
          <t>按实际有效调整次数计，不按提交次数</t>
        </is>
      </c>
      <c r="H149" s="26" t="inlineStr">
        <is>
          <t>修复本人错误也不另算</t>
        </is>
      </c>
    </row>
    <row r="151" ht="30" customHeight="1" s="1">
      <c r="A151" s="24" t="inlineStr">
        <is>
          <t>主动执行倍率计费示例</t>
        </is>
      </c>
    </row>
    <row r="152" ht="34" customHeight="1" s="1">
      <c r="A152" s="25" t="inlineStr">
        <is>
          <t>工作项目</t>
        </is>
      </c>
      <c r="B152" s="25" t="inlineStr">
        <is>
          <t>实际场景</t>
        </is>
      </c>
      <c r="C152" s="25" t="inlineStr">
        <is>
          <t>正常金额</t>
        </is>
      </c>
      <c r="D152" s="25" t="inlineStr">
        <is>
          <t>主动倍率</t>
        </is>
      </c>
      <c r="E152" s="25" t="inlineStr">
        <is>
          <t>主动金额</t>
        </is>
      </c>
      <c r="F152" s="25" t="inlineStr">
        <is>
          <t>计算依据</t>
        </is>
      </c>
      <c r="G152" s="25" t="inlineStr">
        <is>
          <t>认定说明</t>
        </is>
      </c>
      <c r="H152" s="25" t="inlineStr">
        <is>
          <t>备注</t>
        </is>
      </c>
    </row>
    <row r="153" ht="130" customHeight="1" s="1">
      <c r="A153" s="28" t="inlineStr">
        <is>
          <t>标题编写与优化</t>
        </is>
      </c>
      <c r="B153" s="28" t="inlineStr">
        <is>
          <t>主动分析搜索词数据，发现标题缺少核心关键词，重写并完成复盘</t>
        </is>
      </c>
      <c r="C153" s="95" t="n">
        <v>10</v>
      </c>
      <c r="D153" s="96" t="n">
        <v>2</v>
      </c>
      <c r="E153" s="95">
        <f>ROUND(C153*D153,2)</f>
        <v/>
      </c>
      <c r="F153" s="28" t="inlineStr">
        <is>
          <t>10元×2＝20元</t>
        </is>
      </c>
      <c r="G153" s="28" t="inlineStr">
        <is>
          <t>符合Listing内容优化认定：有数据分析、有方案、实际重写、完成复盘</t>
        </is>
      </c>
      <c r="H153" s="28" t="n"/>
    </row>
    <row r="154" ht="130" customHeight="1" s="1">
      <c r="A154" s="28" t="inlineStr">
        <is>
          <t>SP广告创建</t>
        </is>
      </c>
      <c r="B154" s="28" t="inlineStr">
        <is>
          <t>主动发现产品缺少某品类投放，提出测试目标，创建1个SP Campaign</t>
        </is>
      </c>
      <c r="C154" s="95" t="n">
        <v>15</v>
      </c>
      <c r="D154" s="96" t="n">
        <v>2</v>
      </c>
      <c r="E154" s="95">
        <f>ROUND(C154*D154,2)</f>
        <v/>
      </c>
      <c r="F154" s="28" t="inlineStr">
        <is>
          <t>15元×2＝30元</t>
        </is>
      </c>
      <c r="G154" s="28" t="inlineStr">
        <is>
          <t>符合广告新建认定：有投放机会分析、投放方向、测试目标</t>
        </is>
      </c>
      <c r="H154" s="28" t="inlineStr">
        <is>
          <t>仅复制、没有独立投放分析和测试目标，不适用×2；复用结构本身不影响认定。完成创建及复盘后结算。</t>
        </is>
      </c>
    </row>
    <row r="155" ht="130" customHeight="1" s="1">
      <c r="A155" s="28" t="inlineStr">
        <is>
          <t>Buy Box异常处理</t>
        </is>
      </c>
      <c r="B155" s="28" t="inlineStr">
        <is>
          <t>同站点1个ASIN：主动发现Buy Box丢失，及时截图取证并开Case处理</t>
        </is>
      </c>
      <c r="C155" s="95" t="n">
        <v>15</v>
      </c>
      <c r="D155" s="96" t="n">
        <v>1.5</v>
      </c>
      <c r="E155" s="95">
        <f>ROUND(C155*D155,2)</f>
        <v/>
      </c>
      <c r="F155" s="28" t="inlineStr">
        <is>
          <t>15元×1.5＝22.50元</t>
        </is>
      </c>
      <c r="G155" s="28" t="inlineStr">
        <is>
          <t>符合异常处理认定：主动发现、及时记录、推动处理</t>
        </is>
      </c>
      <c r="H155" s="28" t="n"/>
    </row>
    <row r="156" ht="130" customHeight="1" s="1">
      <c r="A156" s="28" t="inlineStr">
        <is>
          <t>价格调整</t>
        </is>
      </c>
      <c r="B156" s="28" t="inlineStr">
        <is>
          <t>主动发现竞品降价导致转化下降，提出调价方案并执行</t>
        </is>
      </c>
      <c r="C156" s="95" t="n">
        <v>15</v>
      </c>
      <c r="D156" s="96" t="n">
        <v>1.5</v>
      </c>
      <c r="E156" s="95">
        <f>ROUND(C156*D156,2)</f>
        <v/>
      </c>
      <c r="F156" s="28" t="inlineStr">
        <is>
          <t>15元×1.5＝22.50元</t>
        </is>
      </c>
      <c r="G156" s="28" t="inlineStr">
        <is>
          <t>符合其他执行类认定：发现问题、有合理措施、完成处理</t>
        </is>
      </c>
      <c r="H156" s="28" t="inlineStr">
        <is>
          <t>例行巡检调价不享受倍率</t>
        </is>
      </c>
    </row>
    <row r="157" ht="130" customHeight="1" s="1">
      <c r="A157" s="28" t="inlineStr">
        <is>
          <t>广告执行调整</t>
        </is>
      </c>
      <c r="B157" s="28" t="inlineStr">
        <is>
          <t>主动分析广告报表，调整Campaign A的否定词和Bid</t>
        </is>
      </c>
      <c r="C157" s="95" t="n">
        <v>10</v>
      </c>
      <c r="D157" s="96" t="n">
        <v>1</v>
      </c>
      <c r="E157" s="95">
        <f>ROUND(C157*D157,2)</f>
        <v/>
      </c>
      <c r="F157" s="28" t="inlineStr">
        <is>
          <t>10元×1＝10元</t>
        </is>
      </c>
      <c r="G157" s="28" t="inlineStr">
        <is>
          <t>广告调整主动倍率固定×1</t>
        </is>
      </c>
      <c r="H157" s="28" t="inlineStr">
        <is>
          <t>有依据并核验；周内可再计1次</t>
        </is>
      </c>
    </row>
    <row r="158" ht="130" customHeight="1" s="1">
      <c r="A158" s="28" t="inlineStr">
        <is>
          <t>标题编写与优化</t>
        </is>
      </c>
      <c r="B158" s="28" t="inlineStr">
        <is>
          <t>上传翻译好的标题（非自主分析优化）</t>
        </is>
      </c>
      <c r="C158" s="95" t="n">
        <v>10</v>
      </c>
      <c r="D158" s="96" t="n">
        <v>1</v>
      </c>
      <c r="E158" s="95">
        <f>ROUND(C158*D158,2)</f>
        <v/>
      </c>
      <c r="F158" s="28" t="inlineStr">
        <is>
          <t>不满足×2认定条件</t>
        </is>
      </c>
      <c r="G158" s="28" t="inlineStr">
        <is>
          <t>单纯翻译上传不属于内容优化档，按正常金额</t>
        </is>
      </c>
      <c r="H158" s="28" t="n"/>
    </row>
    <row r="160" ht="30" customHeight="1" s="1">
      <c r="A160" s="30" t="inlineStr">
        <is>
          <t>跨站点执行计费示例</t>
        </is>
      </c>
    </row>
    <row r="161" ht="34" customHeight="1" s="1">
      <c r="A161" s="25" t="inlineStr">
        <is>
          <t>工作项目</t>
        </is>
      </c>
      <c r="B161" s="25" t="inlineStr">
        <is>
          <t>实际场景</t>
        </is>
      </c>
      <c r="C161" s="25" t="inlineStr">
        <is>
          <t>累计基础金额</t>
        </is>
      </c>
      <c r="D161" s="25" t="inlineStr">
        <is>
          <t>难度系数</t>
        </is>
      </c>
      <c r="E161" s="25" t="inlineStr">
        <is>
          <t>任务金额</t>
        </is>
      </c>
      <c r="F161" s="25" t="inlineStr">
        <is>
          <t>计算依据</t>
        </is>
      </c>
      <c r="G161" s="25" t="inlineStr">
        <is>
          <t>结算说明</t>
        </is>
      </c>
      <c r="H161" s="25" t="inlineStr">
        <is>
          <t>备注</t>
        </is>
      </c>
    </row>
    <row r="162" ht="105" customHeight="1" s="1">
      <c r="A162" s="28" t="inlineStr">
        <is>
          <t>跨站点Listing创建</t>
        </is>
      </c>
      <c r="B162" s="28" t="inlineStr">
        <is>
          <t>美国站3个SKU已上架，现需在CA站上架同3个SKU</t>
        </is>
      </c>
      <c r="C162" s="95" t="n">
        <v>40</v>
      </c>
      <c r="D162" s="29" t="n">
        <v>1</v>
      </c>
      <c r="E162" s="95" t="n">
        <v>40</v>
      </c>
      <c r="F162" s="28" t="inlineStr">
        <is>
          <t>CA站独立分组，3个SKU可共用上架表＝40元</t>
        </is>
      </c>
      <c r="G162" s="28" t="inlineStr">
        <is>
          <t>与US站分别计费</t>
        </is>
      </c>
      <c r="H162" s="28" t="inlineStr">
        <is>
          <t>按目标站点独立上架执行组</t>
        </is>
      </c>
    </row>
    <row r="163" ht="105" customHeight="1" s="1">
      <c r="A163" s="28" t="inlineStr">
        <is>
          <t>跨站点Listing创建</t>
        </is>
      </c>
      <c r="B163" s="28" t="inlineStr">
        <is>
          <t>MX和BR各上架1个SKU</t>
        </is>
      </c>
      <c r="C163" s="95" t="n">
        <v>50</v>
      </c>
      <c r="D163" s="29" t="n">
        <v>1</v>
      </c>
      <c r="E163" s="95" t="n">
        <v>50</v>
      </c>
      <c r="F163" s="28" t="inlineStr">
        <is>
          <t>MX站1个SKU＝25元 ＋ BR站1个SKU＝25元</t>
        </is>
      </c>
      <c r="G163" s="28" t="inlineStr">
        <is>
          <t>不同站点分别计费</t>
        </is>
      </c>
      <c r="H163" s="28" t="inlineStr">
        <is>
          <t>各站点不共用上架表</t>
        </is>
      </c>
    </row>
    <row r="164" ht="105" customHeight="1" s="1">
      <c r="A164" s="28" t="inlineStr">
        <is>
          <t>A+翻译后发布</t>
        </is>
      </c>
      <c r="B164" s="28" t="inlineStr">
        <is>
          <t>将US站A+翻译后发布到CA和MX</t>
        </is>
      </c>
      <c r="C164" s="95" t="n">
        <v>10</v>
      </c>
      <c r="D164" s="29" t="n">
        <v>1</v>
      </c>
      <c r="E164" s="95" t="n">
        <v>10</v>
      </c>
      <c r="F164" s="28" t="inlineStr">
        <is>
          <t>同一份内容同一批＝10元</t>
        </is>
      </c>
      <c r="G164" s="28" t="inlineStr">
        <is>
          <t>不按站点数量累加</t>
        </is>
      </c>
      <c r="H164" s="28" t="inlineStr">
        <is>
          <t>非新策划，仅翻译发布</t>
        </is>
      </c>
    </row>
    <row r="165" ht="105" customHeight="1" s="1">
      <c r="A165" s="28" t="inlineStr">
        <is>
          <t>A+翻译后发布</t>
        </is>
      </c>
      <c r="B165" s="28" t="inlineStr">
        <is>
          <t>将US站2份不同A+分别翻译后发布到CA</t>
        </is>
      </c>
      <c r="C165" s="95" t="n">
        <v>20</v>
      </c>
      <c r="D165" s="29" t="n">
        <v>1</v>
      </c>
      <c r="E165" s="95" t="n">
        <v>20</v>
      </c>
      <c r="F165" s="28" t="inlineStr">
        <is>
          <t>2份不同内容各10元＝20元</t>
        </is>
      </c>
      <c r="G165" s="28" t="inlineStr">
        <is>
          <t>不同内容按份数计</t>
        </is>
      </c>
      <c r="H165" s="28" t="inlineStr">
        <is>
          <t>每份A+独立计费</t>
        </is>
      </c>
    </row>
    <row r="166">
      <c r="A166" s="28" t="inlineStr">
        <is>
          <t>翻译后批量更新</t>
        </is>
      </c>
      <c r="B166" s="28" t="inlineStr">
        <is>
          <t>已有中文文案，翻译后批量更新10个SKU的标题和五点</t>
        </is>
      </c>
      <c r="C166" s="95" t="n">
        <v>10</v>
      </c>
      <c r="D166" s="29" t="n">
        <v>1</v>
      </c>
      <c r="E166" s="95" t="n">
        <v>10</v>
      </c>
      <c r="F166" s="28" t="inlineStr">
        <is>
          <t>同一批翻译更新＝10元</t>
        </is>
      </c>
      <c r="G166" s="28" t="inlineStr">
        <is>
          <t>不按SKU数量增加</t>
        </is>
      </c>
      <c r="H166" s="28" t="inlineStr">
        <is>
          <t>与独立重写区分：翻译更新按批，独立重写按项</t>
        </is>
      </c>
    </row>
    <row r="168" ht="30" customHeight="1" s="1">
      <c r="A168" s="0" t="inlineStr">
        <is>
          <t>滞留库存处理：按处理方式选择基础金额</t>
        </is>
      </c>
    </row>
    <row r="169" ht="34" customHeight="1" s="1">
      <c r="A169" s="0" t="inlineStr">
        <is>
          <t>工作项目</t>
        </is>
      </c>
      <c r="B169" s="0" t="inlineStr">
        <is>
          <t>实际场景</t>
        </is>
      </c>
      <c r="C169" s="0" t="inlineStr">
        <is>
          <t>累计基础金额</t>
        </is>
      </c>
      <c r="D169" s="0" t="inlineStr">
        <is>
          <t>难度系数</t>
        </is>
      </c>
      <c r="E169" s="0" t="inlineStr">
        <is>
          <t>任务金额</t>
        </is>
      </c>
      <c r="F169" s="0" t="inlineStr">
        <is>
          <t>计算依据</t>
        </is>
      </c>
      <c r="G169" s="0" t="inlineStr">
        <is>
          <t>结算说明</t>
        </is>
      </c>
      <c r="H169" s="0" t="inlineStr">
        <is>
          <t>备注</t>
        </is>
      </c>
    </row>
    <row r="170" ht="105" customHeight="1" s="1">
      <c r="A170" s="0" t="inlineStr">
        <is>
          <t>滞留库存处理</t>
        </is>
      </c>
      <c r="B170" s="0" t="inlineStr">
        <is>
          <t>同次安排同批移除10个SKU</t>
        </is>
      </c>
      <c r="C170" s="114" t="n">
        <v>10</v>
      </c>
      <c r="D170" s="0" t="n">
        <v>1</v>
      </c>
      <c r="E170" s="114">
        <f>ROUND(C170*D170,2)</f>
        <v/>
      </c>
      <c r="F170" s="0" t="inlineStr">
        <is>
          <t>移除订单成功创建并核对</t>
        </is>
      </c>
      <c r="G170" s="0" t="inlineStr">
        <is>
          <t>不按SKU数量增加金额</t>
        </is>
      </c>
      <c r="H170" s="0" t="inlineStr">
        <is>
          <t>示例为负责人安排；自主发起按正常金额×主动倍率计算</t>
        </is>
      </c>
    </row>
    <row r="171" ht="105" customHeight="1" s="1">
      <c r="A171" s="0" t="inlineStr">
        <is>
          <t>滞留库存处理</t>
        </is>
      </c>
      <c r="B171" s="0" t="inlineStr">
        <is>
          <t>同批完成多个SKU的Relist</t>
        </is>
      </c>
      <c r="C171" s="114" t="n">
        <v>10</v>
      </c>
      <c r="D171" s="0" t="n">
        <v>1</v>
      </c>
      <c r="E171" s="114">
        <f>ROUND(C171*D171,2)</f>
        <v/>
      </c>
      <c r="F171" s="0" t="inlineStr">
        <is>
          <t>重新发布并核验相关状态</t>
        </is>
      </c>
      <c r="G171" s="0" t="inlineStr">
        <is>
          <t>同一处理方式合并一批</t>
        </is>
      </c>
      <c r="H171" s="0" t="inlineStr">
        <is>
          <t>示例为负责人安排；自主发起按正常金额×主动倍率计算</t>
        </is>
      </c>
    </row>
    <row r="172" ht="105" customHeight="1" s="1">
      <c r="A172" s="0" t="inlineStr">
        <is>
          <t>滞留库存处理</t>
        </is>
      </c>
      <c r="B172" s="0" t="inlineStr">
        <is>
          <t>同一问题先Relist，再申诉并完成处理</t>
        </is>
      </c>
      <c r="C172" s="114" t="n">
        <v>15</v>
      </c>
      <c r="D172" s="0" t="n">
        <v>1</v>
      </c>
      <c r="E172" s="114">
        <f>ROUND(C172*D172,2)</f>
        <v/>
      </c>
      <c r="F172" s="0" t="inlineStr">
        <is>
          <t>按适用最高档15元</t>
        </is>
      </c>
      <c r="G172" s="0" t="inlineStr">
        <is>
          <t>不按25元累计</t>
        </is>
      </c>
      <c r="H172" s="0" t="inlineStr">
        <is>
          <t>示例为负责人安排；自主发起按正常金额×主动倍率计算</t>
        </is>
      </c>
    </row>
    <row r="173" ht="105" customHeight="1" s="1">
      <c r="A173" s="0" t="inlineStr">
        <is>
          <t>滞留库存处理</t>
        </is>
      </c>
      <c r="B173" s="0" t="inlineStr">
        <is>
          <t>已有完整电池豁免或化学品资料，核对后提交</t>
        </is>
      </c>
      <c r="C173" s="114" t="n">
        <v>10</v>
      </c>
      <c r="D173" s="0" t="n">
        <v>1</v>
      </c>
      <c r="E173" s="114">
        <f>ROUND(C173*D173,2)</f>
        <v/>
      </c>
      <c r="F173" s="0" t="inlineStr">
        <is>
          <t>直接资料提交档</t>
        </is>
      </c>
      <c r="G173" s="0" t="inlineStr">
        <is>
          <t>保留文件版本、对应SKU及提交记录</t>
        </is>
      </c>
      <c r="H173" s="0" t="inlineStr">
        <is>
          <t>示例为负责人安排；自主发起按正常金额×主动倍率计算</t>
        </is>
      </c>
    </row>
    <row r="174" ht="105" customHeight="1" s="1">
      <c r="A174" s="0" t="inlineStr">
        <is>
          <t>滞留库存处理</t>
        </is>
      </c>
      <c r="B174" s="0" t="inlineStr">
        <is>
          <t>需向负责人获取并核对资料，再提交跟进</t>
        </is>
      </c>
      <c r="C174" s="114" t="n">
        <v>10</v>
      </c>
      <c r="D174" s="0" t="n">
        <v>1</v>
      </c>
      <c r="E174" s="114">
        <f>ROUND(C174*D174,2)</f>
        <v/>
      </c>
      <c r="F174" s="0" t="inlineStr">
        <is>
          <t>协调获取资料：10元</t>
        </is>
      </c>
      <c r="G174" s="0" t="inlineStr">
        <is>
          <t>等待时间、催办次数不增加金额</t>
        </is>
      </c>
      <c r="H174" s="0" t="inlineStr">
        <is>
          <t>示例为负责人安排；自主发起按正常金额×主动倍率计算</t>
        </is>
      </c>
    </row>
    <row r="175" ht="105" customHeight="1" s="1">
      <c r="A175" s="0" t="inlineStr">
        <is>
          <t>滞留库存处理</t>
        </is>
      </c>
      <c r="B175" s="0" t="inlineStr">
        <is>
          <t>申诉未解决，凭证完整且负责人确认阶段结案</t>
        </is>
      </c>
      <c r="C175" s="114" t="n">
        <v>15</v>
      </c>
      <c r="D175" s="0" t="n">
        <v>1</v>
      </c>
      <c r="E175" s="114">
        <f>ROUND(C175*D175,2)</f>
        <v/>
      </c>
      <c r="F175" s="0" t="inlineStr">
        <is>
          <t>按申诉任务阶段验收</t>
        </is>
      </c>
      <c r="G175" s="0" t="inlineStr">
        <is>
          <t>保留未解决状态及后续安排，不标成已解决</t>
        </is>
      </c>
      <c r="H175" s="0" t="inlineStr">
        <is>
          <t>示例为负责人安排；自主发起按正常金额×主动倍率计算</t>
        </is>
      </c>
    </row>
    <row r="178" ht="30" customHeight="1" s="1">
      <c r="A178" s="0" t="inlineStr">
        <is>
          <t>Listing异常申诉与Case处理：每个ASIN 20元</t>
        </is>
      </c>
    </row>
    <row r="179" ht="34" customHeight="1" s="1">
      <c r="A179" s="0" t="inlineStr">
        <is>
          <t>工作项目</t>
        </is>
      </c>
      <c r="B179" s="0" t="inlineStr">
        <is>
          <t>实际场景</t>
        </is>
      </c>
      <c r="C179" s="0" t="inlineStr">
        <is>
          <t>累计基础金额</t>
        </is>
      </c>
      <c r="D179" s="0" t="inlineStr">
        <is>
          <t>难度系数</t>
        </is>
      </c>
      <c r="E179" s="0" t="inlineStr">
        <is>
          <t>任务金额</t>
        </is>
      </c>
      <c r="F179" s="0" t="inlineStr">
        <is>
          <t>计算依据</t>
        </is>
      </c>
      <c r="G179" s="0" t="inlineStr">
        <is>
          <t>结算说明</t>
        </is>
      </c>
      <c r="H179" s="0" t="inlineStr">
        <is>
          <t>备注</t>
        </is>
      </c>
    </row>
    <row r="180" ht="105" customHeight="1" s="1">
      <c r="A180" s="0" t="inlineStr">
        <is>
          <t>Listing异常申诉与Case处理</t>
        </is>
      </c>
      <c r="B180" s="0" t="inlineStr">
        <is>
          <t>1个ASIN同一异常，多次Appeal或Case后完成处理</t>
        </is>
      </c>
      <c r="C180" s="114" t="n">
        <v>20</v>
      </c>
      <c r="D180" s="0" t="n">
        <v>1</v>
      </c>
      <c r="E180" s="114" t="n">
        <v>20</v>
      </c>
      <c r="F180" s="0" t="inlineStr">
        <is>
          <t>1×20元</t>
        </is>
      </c>
      <c r="G180" s="0" t="inlineStr">
        <is>
          <t>不按Case数量增加金额</t>
        </is>
      </c>
      <c r="H180" s="0" t="inlineStr">
        <is>
          <t>负责人安排的任务示例；自主发起按正常金额×主动倍率计算</t>
        </is>
      </c>
    </row>
    <row r="181" ht="105" customHeight="1" s="1">
      <c r="A181" s="0" t="inlineStr">
        <is>
          <t>Listing异常申诉与Case处理</t>
        </is>
      </c>
      <c r="B181" s="0" t="inlineStr">
        <is>
          <t>5个ASIN共用一个Case，逐个完成处理及核验</t>
        </is>
      </c>
      <c r="C181" s="114" t="n">
        <v>100</v>
      </c>
      <c r="D181" s="0" t="n">
        <v>1</v>
      </c>
      <c r="E181" s="114" t="n">
        <v>100</v>
      </c>
      <c r="F181" s="0" t="inlineStr">
        <is>
          <t>5×20元</t>
        </is>
      </c>
      <c r="G181" s="0" t="inlineStr">
        <is>
          <t>保留每个ASIN的处理结果</t>
        </is>
      </c>
      <c r="H181" s="0" t="inlineStr">
        <is>
          <t>负责人安排的任务示例；自主发起按正常金额×主动倍率计算</t>
        </is>
      </c>
    </row>
    <row r="182" ht="105" customHeight="1" s="1">
      <c r="A182" s="0" t="inlineStr">
        <is>
          <t>Listing异常申诉与Case处理</t>
        </is>
      </c>
      <c r="B182" s="0" t="inlineStr">
        <is>
          <t>1个ASIN未恢复，记录完整且负责人确认阶段结案</t>
        </is>
      </c>
      <c r="C182" s="114" t="n">
        <v>20</v>
      </c>
      <c r="D182" s="0" t="n">
        <v>1</v>
      </c>
      <c r="E182" s="114" t="n">
        <v>20</v>
      </c>
      <c r="F182" s="0" t="inlineStr">
        <is>
          <t>按该ASIN阶段验收</t>
        </is>
      </c>
      <c r="G182" s="0" t="inlineStr">
        <is>
          <t>保留未恢复状态，之后恢复不重复计费</t>
        </is>
      </c>
      <c r="H182" s="0" t="inlineStr">
        <is>
          <t>负责人安排的任务示例；自主发起按正常金额×主动倍率计算</t>
        </is>
      </c>
    </row>
    <row r="183" ht="105" customHeight="1" s="1">
      <c r="A183" s="0" t="inlineStr">
        <is>
          <t>Listing异常申诉与Case处理</t>
        </is>
      </c>
      <c r="B183" s="0" t="inlineStr">
        <is>
          <t>同一异常已按滞留库存、Buy Box或变体关系维护计费</t>
        </is>
      </c>
      <c r="C183" s="114" t="n">
        <v>0</v>
      </c>
      <c r="D183" s="0" t="n">
        <v>1</v>
      </c>
      <c r="E183" s="114" t="n">
        <v>0</v>
      </c>
      <c r="F183" s="0" t="inlineStr">
        <is>
          <t>本项不再计费</t>
        </is>
      </c>
      <c r="G183" s="0" t="inlineStr">
        <is>
          <t>只选择一个主任务项目</t>
        </is>
      </c>
      <c r="H183" s="0" t="inlineStr">
        <is>
          <t>负责人安排的任务示例；自主发起按正常金额×主动倍率计算</t>
        </is>
      </c>
    </row>
    <row r="186" ht="30" customHeight="1" s="1">
      <c r="A186" s="0" t="inlineStr">
        <is>
          <t>Brand Store按二级类目计费：商品10元、模块25元；范围外原有提交报错15元/提交任务</t>
        </is>
      </c>
    </row>
    <row r="187" ht="34" customHeight="1" s="1">
      <c r="A187" s="0" t="inlineStr">
        <is>
          <t>工作项目</t>
        </is>
      </c>
      <c r="B187" s="0" t="inlineStr">
        <is>
          <t>实际场景</t>
        </is>
      </c>
      <c r="C187" s="0" t="inlineStr">
        <is>
          <t>累计基础金额</t>
        </is>
      </c>
      <c r="D187" s="0" t="inlineStr">
        <is>
          <t>难度系数</t>
        </is>
      </c>
      <c r="E187" s="0" t="inlineStr">
        <is>
          <t>任务金额</t>
        </is>
      </c>
      <c r="F187" s="0" t="inlineStr">
        <is>
          <t>计算依据</t>
        </is>
      </c>
      <c r="G187" s="0" t="inlineStr">
        <is>
          <t>结算说明</t>
        </is>
      </c>
      <c r="H187" s="0" t="inlineStr">
        <is>
          <t>备注</t>
        </is>
      </c>
    </row>
    <row r="188" ht="120" customHeight="1" s="1">
      <c r="A188" s="0" t="inlineStr">
        <is>
          <t>Brand Store 二级类目商品维护</t>
        </is>
      </c>
      <c r="B188" s="0" t="inlineStr">
        <is>
          <t>1/2英寸尺寸类目原有模块中加入10个新品</t>
        </is>
      </c>
      <c r="C188" s="114" t="n">
        <v>10</v>
      </c>
      <c r="D188" s="0" t="n">
        <v>1</v>
      </c>
      <c r="E188" s="114">
        <f>ROUND(C188*D188,2)</f>
        <v/>
      </c>
      <c r="F188" s="0" t="inlineStr">
        <is>
          <t>1个二级类目×10元</t>
        </is>
      </c>
      <c r="G188" s="0" t="inlineStr">
        <is>
          <t>不按SKU数量增加</t>
        </is>
      </c>
      <c r="H188" s="0" t="inlineStr">
        <is>
          <t>负责人安排的任务示例；自主发起按正常金额×主动倍率计算</t>
        </is>
      </c>
    </row>
    <row r="189" ht="120" customHeight="1" s="1">
      <c r="A189" s="0" t="inlineStr">
        <is>
          <t>Brand Store 二级类目商品维护</t>
        </is>
      </c>
      <c r="B189" s="0" t="inlineStr">
        <is>
          <t>1/2英寸与3/4英寸两个类目分别增删商品</t>
        </is>
      </c>
      <c r="C189" s="114" t="n">
        <v>20</v>
      </c>
      <c r="D189" s="0" t="n">
        <v>1</v>
      </c>
      <c r="E189" s="114">
        <f>ROUND(C189*D189,2)</f>
        <v/>
      </c>
      <c r="F189" s="0" t="inlineStr">
        <is>
          <t>2个二级类目×10元</t>
        </is>
      </c>
      <c r="G189" s="0" t="inlineStr">
        <is>
          <t>记录两条实际类目路径</t>
        </is>
      </c>
      <c r="H189" s="0" t="inlineStr">
        <is>
          <t>负责人安排的任务示例；自主发起按正常金额×主动倍率计算</t>
        </is>
      </c>
    </row>
    <row r="190" ht="120" customHeight="1" s="1">
      <c r="A190" s="0" t="inlineStr">
        <is>
          <t>Brand Store 二级类目模块新增或重建</t>
        </is>
      </c>
      <c r="B190" s="0" t="inlineStr">
        <is>
          <t>1/2英寸类目重建模块并配置商品</t>
        </is>
      </c>
      <c r="C190" s="114" t="n">
        <v>25</v>
      </c>
      <c r="D190" s="0" t="n">
        <v>1</v>
      </c>
      <c r="E190" s="114">
        <f>ROUND(C190*D190,2)</f>
        <v/>
      </c>
      <c r="F190" s="0" t="inlineStr">
        <is>
          <t>1个二级类目×25元</t>
        </is>
      </c>
      <c r="G190" s="0" t="inlineStr">
        <is>
          <t>不再叠加商品维护10元</t>
        </is>
      </c>
      <c r="H190" s="0" t="inlineStr">
        <is>
          <t>负责人安排的任务示例；自主发起按正常金额×主动倍率计算</t>
        </is>
      </c>
    </row>
    <row r="191" ht="120" customHeight="1" s="1">
      <c r="A191" s="0" t="inlineStr">
        <is>
          <t>Brand Store 二级类目模块新增或重建</t>
        </is>
      </c>
      <c r="B191" s="0" t="inlineStr">
        <is>
          <t>两个尺寸类目分别重建模块并配置商品</t>
        </is>
      </c>
      <c r="C191" s="114" t="n">
        <v>50</v>
      </c>
      <c r="D191" s="0" t="n">
        <v>1</v>
      </c>
      <c r="E191" s="114">
        <f>ROUND(C191*D191,2)</f>
        <v/>
      </c>
      <c r="F191" s="0" t="inlineStr">
        <is>
          <t>2个二级类目×25元</t>
        </is>
      </c>
      <c r="G191" s="0" t="inlineStr">
        <is>
          <t>同类目不按模块数量增加</t>
        </is>
      </c>
      <c r="H191" s="0" t="inlineStr">
        <is>
          <t>负责人安排的任务示例；自主发起按正常金额×主动倍率计算</t>
        </is>
      </c>
    </row>
    <row r="192" ht="120" customHeight="1" s="1">
      <c r="A192" s="0" t="inlineStr">
        <is>
          <t>Brand Store 商品维护＋提交阻断处理</t>
        </is>
      </c>
      <c r="B192" s="0" t="inlineStr">
        <is>
          <t>两个尺寸类目更新，另修复其他板块历史报错后提交</t>
        </is>
      </c>
      <c r="C192" s="114" t="n">
        <v>35</v>
      </c>
      <c r="D192" s="0" t="n">
        <v>1</v>
      </c>
      <c r="E192" s="114">
        <f>ROUND(C192*D192,2)</f>
        <v/>
      </c>
      <c r="F192" s="0" t="inlineStr">
        <is>
          <t>35元</t>
        </is>
      </c>
      <c r="G192" s="0" t="inlineStr">
        <is>
          <t>同次提交多个报错只计一次15元</t>
        </is>
      </c>
      <c r="H192" s="0" t="inlineStr">
        <is>
          <t>负责人安排的任务示例；自主发起按正常金额×主动倍率计算</t>
        </is>
      </c>
    </row>
    <row r="193" ht="120" customHeight="1" s="1">
      <c r="A193" s="0" t="inlineStr">
        <is>
          <t>Brand Store 二级类目商品维护</t>
        </is>
      </c>
      <c r="B193" s="0" t="inlineStr">
        <is>
          <t>两个尺寸类目更新，修复本人本次造成的报错</t>
        </is>
      </c>
      <c r="C193" s="114" t="n">
        <v>20</v>
      </c>
      <c r="D193" s="0" t="n">
        <v>1</v>
      </c>
      <c r="E193" s="114">
        <f>ROUND(C193*D193,2)</f>
        <v/>
      </c>
      <c r="F193" s="0" t="inlineStr">
        <is>
          <t>20元</t>
        </is>
      </c>
      <c r="G193" s="0" t="inlineStr">
        <is>
          <t>自身返工不增加阻断处理金额</t>
        </is>
      </c>
      <c r="H193" s="0" t="inlineStr">
        <is>
          <t>负责人安排的任务示例；自主发起按正常金额×主动倍率计算</t>
        </is>
      </c>
    </row>
    <row r="196" ht="13.85000038146973" customHeight="1" s="1">
      <c r="A196" s="24" t="inlineStr">
        <is>
          <t>新品开发与内容准备计费示例</t>
        </is>
      </c>
    </row>
    <row r="197">
      <c r="A197" s="97" t="inlineStr">
        <is>
          <t>工作项目</t>
        </is>
      </c>
      <c r="B197" s="97" t="inlineStr">
        <is>
          <t>实际场景</t>
        </is>
      </c>
      <c r="C197" s="97" t="inlineStr">
        <is>
          <t>累计基础金额</t>
        </is>
      </c>
      <c r="D197" s="97" t="inlineStr">
        <is>
          <t>难度系数</t>
        </is>
      </c>
      <c r="E197" s="97" t="inlineStr">
        <is>
          <t>任务金额</t>
        </is>
      </c>
      <c r="F197" s="97" t="inlineStr">
        <is>
          <t>计算依据</t>
        </is>
      </c>
    </row>
    <row r="198" ht="27" customHeight="1" s="1">
      <c r="A198" s="98" t="inlineStr">
        <is>
          <t>市场调研与产品建议</t>
        </is>
      </c>
      <c r="B198" s="98" t="inlineStr">
        <is>
          <t>完成一个独立开发项目的市场调研</t>
        </is>
      </c>
      <c r="C198" s="99" t="n">
        <v>75</v>
      </c>
      <c r="D198" s="99" t="n">
        <v>1</v>
      </c>
      <c r="E198" s="98">
        <f>ROUND(C198*D198,2)</f>
        <v/>
      </c>
      <c r="F198" s="98" t="inlineStr">
        <is>
          <t>75元/独立项目</t>
        </is>
      </c>
    </row>
    <row r="199" ht="27" customHeight="1" s="1">
      <c r="A199" s="98" t="inlineStr">
        <is>
          <t>市场调研与产品建议</t>
        </is>
      </c>
      <c r="B199" s="98" t="inlineStr">
        <is>
          <t>调研后结论为不建议开发</t>
        </is>
      </c>
      <c r="C199" s="99" t="n">
        <v>75</v>
      </c>
      <c r="D199" s="99" t="n">
        <v>1</v>
      </c>
      <c r="E199" s="98">
        <f>ROUND(C199*D199,2)</f>
        <v/>
      </c>
      <c r="F199" s="98" t="inlineStr">
        <is>
          <t>调研完整通过验收，照常计75元</t>
        </is>
      </c>
    </row>
    <row r="200" ht="54" customHeight="1" s="1">
      <c r="A200" s="98" t="inlineStr">
        <is>
          <t>厂家筛选报价与合作条件确认</t>
        </is>
      </c>
      <c r="B200" s="98" t="inlineStr">
        <is>
          <t>一个项目联系多家厂家并确认合作条件</t>
        </is>
      </c>
      <c r="C200" s="99" t="n">
        <v>75</v>
      </c>
      <c r="D200" s="99" t="n">
        <v>1</v>
      </c>
      <c r="E200" s="98">
        <f>ROUND(C200*D200,2)</f>
        <v/>
      </c>
      <c r="F200" s="98" t="inlineStr">
        <is>
          <t>75元/独立项目，不按联系家数计</t>
        </is>
      </c>
    </row>
    <row r="201" ht="40.5" customHeight="1" s="1">
      <c r="A201" s="98" t="inlineStr">
        <is>
          <t>样品评估及问题跟进</t>
        </is>
      </c>
      <c r="B201" s="98" t="inlineStr">
        <is>
          <t>同一轮检查、整改和原问题复测</t>
        </is>
      </c>
      <c r="C201" s="99" t="n">
        <v>75</v>
      </c>
      <c r="D201" s="99" t="n">
        <v>1</v>
      </c>
      <c r="E201" s="98">
        <f>ROUND(C201*D201,2)</f>
        <v/>
      </c>
      <c r="F201" s="98" t="inlineStr">
        <is>
          <t>合计75元，不逐次累加</t>
        </is>
      </c>
    </row>
    <row r="202" ht="27" customHeight="1" s="1">
      <c r="A202" s="98" t="inlineStr">
        <is>
          <t>新品开发全流程</t>
        </is>
      </c>
      <c r="B202" s="98" t="inlineStr">
        <is>
          <t>一个项目完成调研＋找厂＋样品三阶段</t>
        </is>
      </c>
      <c r="C202" s="99" t="n">
        <v>225</v>
      </c>
      <c r="D202" s="99" t="n">
        <v>1</v>
      </c>
      <c r="E202" s="98">
        <f>ROUND(C202*D202,2)</f>
        <v/>
      </c>
      <c r="F202" s="98" t="inlineStr">
        <is>
          <t>75元×3阶段＝225元</t>
        </is>
      </c>
    </row>
    <row r="203" ht="40.5" customHeight="1" s="1">
      <c r="A203" s="98" t="inlineStr">
        <is>
          <t>新品开发（共用方案）</t>
        </is>
      </c>
      <c r="B203" s="98" t="inlineStr">
        <is>
          <t>3个尺寸共用同一套调研方案</t>
        </is>
      </c>
      <c r="C203" s="99" t="n">
        <v>75</v>
      </c>
      <c r="D203" s="99" t="n">
        <v>1</v>
      </c>
      <c r="E203" s="98">
        <f>ROUND(C203*D203,2)</f>
        <v/>
      </c>
      <c r="F203" s="98" t="inlineStr">
        <is>
          <t>共用调研不重复，仍计75元</t>
        </is>
      </c>
    </row>
    <row r="204" ht="27" customHeight="1" s="1">
      <c r="A204" s="98" t="inlineStr">
        <is>
          <t>产品资料整理与确认</t>
        </is>
      </c>
      <c r="B204" s="98" t="inlineStr">
        <is>
          <t>额外核实并补全一套独立产品资料</t>
        </is>
      </c>
      <c r="C204" s="99" t="n">
        <v>40</v>
      </c>
      <c r="D204" s="99" t="n">
        <v>1</v>
      </c>
      <c r="E204" s="98">
        <f>ROUND(C204*D204,2)</f>
        <v/>
      </c>
      <c r="F204" s="98" t="inlineStr">
        <is>
          <t>40元/独立资料套</t>
        </is>
      </c>
    </row>
    <row r="205" ht="40.5" customHeight="1" s="1">
      <c r="A205" s="98" t="inlineStr">
        <is>
          <t>产品资料整理与确认</t>
        </is>
      </c>
      <c r="B205" s="98" t="inlineStr">
        <is>
          <t>复制整理现成完整资料</t>
        </is>
      </c>
      <c r="C205" s="99" t="n">
        <v>0</v>
      </c>
      <c r="D205" s="99" t="n">
        <v>1</v>
      </c>
      <c r="E205" s="98">
        <f>ROUND(C205*D205,2)</f>
        <v/>
      </c>
      <c r="F205" s="98" t="inlineStr">
        <is>
          <t>已有完整资料不计本项</t>
        </is>
      </c>
    </row>
    <row r="206" ht="40.5" customHeight="1" s="1">
      <c r="A206" s="98" t="inlineStr">
        <is>
          <t>产品图片策划</t>
        </is>
      </c>
      <c r="B206" s="98" t="inlineStr">
        <is>
          <t>一套主辅图方案并核验成图</t>
        </is>
      </c>
      <c r="C206" s="99" t="n">
        <v>50</v>
      </c>
      <c r="D206" s="99" t="n">
        <v>1</v>
      </c>
      <c r="E206" s="98">
        <f>ROUND(C206*D206,2)</f>
        <v/>
      </c>
      <c r="F206" s="98" t="inlineStr">
        <is>
          <t>50元/独立方案</t>
        </is>
      </c>
    </row>
    <row r="207" ht="27" customHeight="1" s="1">
      <c r="A207" s="98" t="inlineStr">
        <is>
          <t>产品图片策划＋图片上传</t>
        </is>
      </c>
      <c r="B207" s="98" t="inlineStr">
        <is>
          <t>图片策划50元＋1个SKU图片上传10元</t>
        </is>
      </c>
      <c r="C207" s="99" t="n">
        <v>60</v>
      </c>
      <c r="D207" s="99" t="n">
        <v>1</v>
      </c>
      <c r="E207" s="98">
        <f>ROUND(C207*D207,2)</f>
        <v/>
      </c>
      <c r="F207" s="98" t="inlineStr">
        <is>
          <t>50元＋10元＝60元</t>
        </is>
      </c>
    </row>
    <row r="208" ht="27" customHeight="1" s="1">
      <c r="A208" s="98" t="inlineStr">
        <is>
          <t>产品图片策划</t>
        </is>
      </c>
      <c r="B208" s="98" t="inlineStr">
        <is>
          <t>A+内的素材策划（已含在A+75元中）</t>
        </is>
      </c>
      <c r="C208" s="99" t="n">
        <v>0</v>
      </c>
      <c r="D208" s="99" t="n">
        <v>1</v>
      </c>
      <c r="E208" s="98">
        <f>ROUND(C208*D208,2)</f>
        <v/>
      </c>
      <c r="F208" s="98" t="inlineStr">
        <is>
          <t>A+制作已含素材策划，不另计</t>
        </is>
      </c>
    </row>
    <row r="209" ht="27" customHeight="1" s="1">
      <c r="A209" s="98" t="inlineStr">
        <is>
          <t>视频字幕文案编写</t>
        </is>
      </c>
      <c r="B209" s="98" t="inlineStr">
        <is>
          <t>编写并核验一份独立字幕稿</t>
        </is>
      </c>
      <c r="C209" s="99" t="n">
        <v>25</v>
      </c>
      <c r="D209" s="99" t="n">
        <v>1</v>
      </c>
      <c r="E209" s="98">
        <f>ROUND(C209*D209,2)</f>
        <v/>
      </c>
      <c r="F209" s="98" t="inlineStr">
        <is>
          <t>25元/独立字幕稿</t>
        </is>
      </c>
    </row>
    <row r="210">
      <c r="A210" s="98" t="inlineStr">
        <is>
          <t>视频字幕＋视频上传</t>
        </is>
      </c>
      <c r="B210" s="98" t="inlineStr">
        <is>
          <t>字幕25元＋上传1个视频15元</t>
        </is>
      </c>
      <c r="C210" s="99" t="n">
        <v>40</v>
      </c>
      <c r="D210" s="99" t="n">
        <v>1</v>
      </c>
      <c r="E210" s="98">
        <f>ROUND(C210*D210,2)</f>
        <v/>
      </c>
      <c r="F210" s="98" t="inlineStr">
        <is>
          <t>25元＋15元＝40元</t>
        </is>
      </c>
    </row>
    <row r="211">
      <c r="A211" s="98" t="inlineStr">
        <is>
          <t>新品开发主动倍率</t>
        </is>
      </c>
      <c r="B211" s="98" t="inlineStr">
        <is>
          <t>主动发起市场调研并完成验收</t>
        </is>
      </c>
      <c r="C211" s="99" t="n">
        <v>75</v>
      </c>
      <c r="D211" s="99" t="n">
        <v>1.5</v>
      </c>
      <c r="E211" s="98">
        <f>ROUND(C211*D211,2)</f>
        <v/>
      </c>
      <c r="F211" s="98" t="inlineStr">
        <is>
          <t>75元×1.5＝112.50元</t>
        </is>
      </c>
    </row>
    <row r="212">
      <c r="A212" s="98" t="inlineStr">
        <is>
          <t>产品图片策划主动倍率</t>
        </is>
      </c>
      <c r="B212" s="98" t="inlineStr">
        <is>
          <t>主动发起图片策划并完成交付</t>
        </is>
      </c>
      <c r="C212" s="99" t="n">
        <v>50</v>
      </c>
      <c r="D212" s="99" t="n">
        <v>1.5</v>
      </c>
      <c r="E212" s="98">
        <f>ROUND(C212*D212,2)</f>
        <v/>
      </c>
      <c r="F212" s="98" t="inlineStr">
        <is>
          <t>50元×1.5＝75元</t>
        </is>
      </c>
    </row>
    <row r="213">
      <c r="A213" s="24" t="inlineStr">
        <is>
          <t>新增项目计费示例</t>
        </is>
      </c>
    </row>
    <row r="214">
      <c r="A214" s="56" t="inlineStr">
        <is>
          <t>工作项目</t>
        </is>
      </c>
      <c r="B214" s="56" t="inlineStr">
        <is>
          <t>实际场景</t>
        </is>
      </c>
      <c r="C214" s="56" t="inlineStr">
        <is>
          <t>累计基础金额</t>
        </is>
      </c>
      <c r="D214" s="56" t="inlineStr">
        <is>
          <t>难度系数</t>
        </is>
      </c>
      <c r="E214" s="56" t="inlineStr">
        <is>
          <t>任务金额</t>
        </is>
      </c>
      <c r="F214" s="56" t="inlineStr">
        <is>
          <t>计算依据</t>
        </is>
      </c>
    </row>
    <row r="215">
      <c r="A215" s="0" t="inlineStr">
        <is>
          <t>利润或亏损原因分析与优化建议</t>
        </is>
      </c>
      <c r="B215" s="0" t="inlineStr">
        <is>
          <t>完整分析1个ASIN利润问题并提出建议</t>
        </is>
      </c>
      <c r="C215" s="134" t="n">
        <v>30</v>
      </c>
      <c r="D215" s="134" t="n">
        <v>1</v>
      </c>
      <c r="E215" s="0">
        <f>ROUND(C215*D215,2)</f>
        <v/>
      </c>
      <c r="F215" s="0" t="inlineStr">
        <is>
          <t>30元/完整报告</t>
        </is>
      </c>
    </row>
    <row r="216">
      <c r="A216" s="0" t="inlineStr">
        <is>
          <t>利润分析（初步）</t>
        </is>
      </c>
      <c r="B216" s="0" t="inlineStr">
        <is>
          <t>初步排查并结案</t>
        </is>
      </c>
      <c r="C216" s="134" t="n">
        <v>15</v>
      </c>
      <c r="D216" s="134" t="n">
        <v>1</v>
      </c>
      <c r="E216" s="0">
        <f>ROUND(C216*D216,2)</f>
        <v/>
      </c>
      <c r="F216" s="0" t="inlineStr">
        <is>
          <t>初步15元；之后补齐再补15元</t>
        </is>
      </c>
    </row>
    <row r="217">
      <c r="A217" s="0" t="inlineStr">
        <is>
          <t>活动效果复盘</t>
        </is>
      </c>
      <c r="B217" s="0" t="inlineStr">
        <is>
          <t>1场Coupon活动覆盖10个ASIN的完整复盘</t>
        </is>
      </c>
      <c r="C217" s="134" t="n">
        <v>30</v>
      </c>
      <c r="D217" s="134" t="n">
        <v>1</v>
      </c>
      <c r="E217" s="0">
        <f>ROUND(C217*D217,2)</f>
        <v/>
      </c>
      <c r="F217" s="0" t="inlineStr">
        <is>
          <t>30元/独立活动，不按ASIN累加</t>
        </is>
      </c>
    </row>
    <row r="218">
      <c r="A218" s="0" t="inlineStr">
        <is>
          <t>费用异常核查与Case申诉</t>
        </is>
      </c>
      <c r="B218" s="0" t="inlineStr">
        <is>
          <t>1个ASIN尺寸分级费用异常，开Case并跟进</t>
        </is>
      </c>
      <c r="C218" s="134" t="n">
        <v>20</v>
      </c>
      <c r="D218" s="134" t="n">
        <v>1</v>
      </c>
      <c r="E218" s="0">
        <f>ROUND(C218*D218,2)</f>
        <v/>
      </c>
      <c r="F218" s="0" t="inlineStr">
        <is>
          <t>20元/独立费用问题</t>
        </is>
      </c>
    </row>
    <row r="219">
      <c r="A219" s="0" t="inlineStr">
        <is>
          <t>跟卖监控</t>
        </is>
      </c>
      <c r="B219" s="0" t="inlineStr">
        <is>
          <t>本周完成全部约定检查</t>
        </is>
      </c>
      <c r="C219" s="134" t="n">
        <v>5</v>
      </c>
      <c r="D219" s="134" t="n">
        <v>1</v>
      </c>
      <c r="E219" s="0">
        <f>ROUND(C219*D219,2)</f>
        <v/>
      </c>
      <c r="F219" s="0" t="inlineStr">
        <is>
          <t>5元/站点/清单/周</t>
        </is>
      </c>
    </row>
    <row r="220">
      <c r="A220" s="0" t="inlineStr">
        <is>
          <t>跟卖取证与举报</t>
        </is>
      </c>
      <c r="B220" s="0" t="inlineStr">
        <is>
          <t>已有证据完成举报并跟进</t>
        </is>
      </c>
      <c r="C220" s="134" t="n">
        <v>30</v>
      </c>
      <c r="D220" s="134" t="n">
        <v>1</v>
      </c>
      <c r="E220" s="0">
        <f>ROUND(C220*D220,2)</f>
        <v/>
      </c>
      <c r="F220" s="0" t="inlineStr">
        <is>
          <t>30元/独立案件</t>
        </is>
      </c>
    </row>
    <row r="221">
      <c r="A221" s="0" t="inlineStr">
        <is>
          <t>跟卖取证（含Test Buy）</t>
        </is>
      </c>
      <c r="B221" s="0" t="inlineStr">
        <is>
          <t>完成Test Buy取证全过程及案件处理</t>
        </is>
      </c>
      <c r="C221" s="134" t="n">
        <v>50</v>
      </c>
      <c r="D221" s="134" t="n">
        <v>1</v>
      </c>
      <c r="E221" s="0">
        <f>ROUND(C221*D221,2)</f>
        <v/>
      </c>
      <c r="F221" s="0" t="inlineStr">
        <is>
          <t>整案50元（含取证）</t>
        </is>
      </c>
    </row>
    <row r="222">
      <c r="A222" s="0" t="inlineStr">
        <is>
          <t>Vine报名与跟进</t>
        </is>
      </c>
      <c r="B222" s="0" t="inlineStr">
        <is>
          <t>1个报名项目含多个子SKU</t>
        </is>
      </c>
      <c r="C222" s="134" t="n">
        <v>15</v>
      </c>
      <c r="D222" s="134" t="n">
        <v>1</v>
      </c>
      <c r="E222" s="0">
        <f>ROUND(C222*D222,2)</f>
        <v/>
      </c>
      <c r="F222" s="0" t="inlineStr">
        <is>
          <t>15元/报名项目，不按子SKU累加</t>
        </is>
      </c>
    </row>
    <row r="223">
      <c r="A223" s="0" t="inlineStr">
        <is>
          <t>Brand Story全新策划</t>
        </is>
      </c>
      <c r="B223" s="0" t="inlineStr">
        <is>
          <t>全新策划1份品牌故事并绑定20个ASIN</t>
        </is>
      </c>
      <c r="C223" s="134" t="n">
        <v>75</v>
      </c>
      <c r="D223" s="134" t="n">
        <v>1</v>
      </c>
      <c r="E223" s="0">
        <f>ROUND(C223*D223,2)</f>
        <v/>
      </c>
      <c r="F223" s="0" t="inlineStr">
        <is>
          <t>75元/独立内容，不按ASIN累加</t>
        </is>
      </c>
    </row>
    <row r="224">
      <c r="A224" s="0" t="inlineStr">
        <is>
          <t>Brand Story局部修改</t>
        </is>
      </c>
      <c r="B224" s="0" t="inlineStr">
        <is>
          <t>修改已有品牌故事的2张卡片</t>
        </is>
      </c>
      <c r="C224" s="134" t="n">
        <v>10</v>
      </c>
      <c r="D224" s="134" t="n">
        <v>1</v>
      </c>
      <c r="E224" s="0">
        <f>ROUND(C224*D224,2)</f>
        <v/>
      </c>
      <c r="F224" s="0" t="inlineStr">
        <is>
          <t>10元/同份同轮</t>
        </is>
      </c>
    </row>
    <row r="225">
      <c r="A225" s="0" t="inlineStr">
        <is>
          <t>Subscribe &amp; Save设置</t>
        </is>
      </c>
      <c r="B225" s="0" t="inlineStr">
        <is>
          <t>同批10个ASIN加入并设折扣</t>
        </is>
      </c>
      <c r="C225" s="134" t="n">
        <v>10</v>
      </c>
      <c r="D225" s="134" t="n">
        <v>1</v>
      </c>
      <c r="E225" s="0">
        <f>ROUND(C225*D225,2)</f>
        <v/>
      </c>
      <c r="F225" s="0" t="inlineStr">
        <is>
          <t>10元/批，不按ASIN累加</t>
        </is>
      </c>
    </row>
    <row r="226">
      <c r="A226" s="0" t="inlineStr">
        <is>
          <t>Virtual Bundle新建</t>
        </is>
      </c>
      <c r="B226" s="0" t="inlineStr">
        <is>
          <t>新建1个虚拟捆绑商品</t>
        </is>
      </c>
      <c r="C226" s="134" t="n">
        <v>25</v>
      </c>
      <c r="D226" s="134" t="n">
        <v>1</v>
      </c>
      <c r="E226" s="0">
        <f>ROUND(C226*D226,2)</f>
        <v/>
      </c>
      <c r="F226" s="0" t="inlineStr">
        <is>
          <t>25元/独立捆绑</t>
        </is>
      </c>
    </row>
    <row r="227">
      <c r="A227" s="0" t="inlineStr">
        <is>
          <t>Virtual Bundle维护</t>
        </is>
      </c>
      <c r="B227" s="0" t="inlineStr">
        <is>
          <t>已有捆绑修改标题和价格</t>
        </is>
      </c>
      <c r="C227" s="134" t="n">
        <v>10</v>
      </c>
      <c r="D227" s="134" t="n">
        <v>1</v>
      </c>
      <c r="E227" s="0">
        <f>ROUND(C227*D227,2)</f>
        <v/>
      </c>
      <c r="F227" s="0" t="inlineStr">
        <is>
          <t>10元/同捆绑同轮维护</t>
        </is>
      </c>
    </row>
    <row r="230">
      <c r="A230" s="24" t="inlineStr">
        <is>
          <t>防重复计费速查：常见场景判定</t>
        </is>
      </c>
    </row>
    <row r="231">
      <c r="A231" s="31" t="inlineStr">
        <is>
          <t>序号</t>
        </is>
      </c>
      <c r="B231" s="31" t="inlineStr">
        <is>
          <t>场景描述</t>
        </is>
      </c>
      <c r="C231" s="31" t="inlineStr">
        <is>
          <t>正确计费</t>
        </is>
      </c>
      <c r="D231" s="31" t="inlineStr">
        <is>
          <t>错误计费</t>
        </is>
      </c>
      <c r="E231" s="31" t="inlineStr">
        <is>
          <t>判定依据</t>
        </is>
      </c>
      <c r="F231" s="31" t="inlineStr">
        <is>
          <t>所在规则</t>
        </is>
      </c>
      <c r="G231" s="31" t="n"/>
      <c r="H231" s="31" t="n"/>
    </row>
    <row r="232">
      <c r="A232" s="32" t="n">
        <v>1</v>
      </c>
      <c r="B232" s="32" t="inlineStr">
        <is>
          <t>A+完全重做后，是否可同时计A+制作发布75元和全新重做75元？</t>
        </is>
      </c>
      <c r="C232" s="32" t="inlineStr">
        <is>
          <t>只计一次75元</t>
        </is>
      </c>
      <c r="D232" s="32" t="inlineStr">
        <is>
          <t>叠加计150元</t>
        </is>
      </c>
      <c r="E232" s="32" t="inlineStr">
        <is>
          <t>同一成果只计一次</t>
        </is>
      </c>
      <c r="F232" s="32" t="inlineStr">
        <is>
          <t>任务评分·A+制作发布</t>
        </is>
      </c>
    </row>
    <row r="233">
      <c r="A233" s="32" t="n">
        <v>2</v>
      </c>
      <c r="B233" s="32" t="inlineStr">
        <is>
          <t>同一电压错误出现在标题、五点和A+三个位置</t>
        </is>
      </c>
      <c r="C233" s="32" t="inlineStr">
        <is>
          <t>修正全部位置，共10元</t>
        </is>
      </c>
      <c r="D233" s="32" t="inlineStr">
        <is>
          <t>按位置分别计30元</t>
        </is>
      </c>
      <c r="E233" s="32" t="inlineStr">
        <is>
          <t>同源错误合并为1个错误点</t>
        </is>
      </c>
      <c r="F233" s="32" t="inlineStr">
        <is>
          <t>任务评分·Listing纠错</t>
        </is>
      </c>
    </row>
    <row r="234">
      <c r="A234" s="32" t="n">
        <v>3</v>
      </c>
      <c r="B234" s="32" t="inlineStr">
        <is>
          <t>员工自主发现价格异常并修正，是否同时计任务金额和主动金额？</t>
        </is>
      </c>
      <c r="C234" s="32" t="inlineStr">
        <is>
          <t>按正常金额×主动倍率</t>
        </is>
      </c>
      <c r="D234" s="32" t="inlineStr">
        <is>
          <t>正常金额＋另加主动金额</t>
        </is>
      </c>
      <c r="E234" s="32" t="inlineStr">
        <is>
          <t>发起来源互斥：自主发起按倍率，不另加正常金额</t>
        </is>
      </c>
      <c r="F234" s="32" t="inlineStr">
        <is>
          <t>主动改善评价·二</t>
        </is>
      </c>
    </row>
    <row r="235">
      <c r="A235" s="32" t="n">
        <v>4</v>
      </c>
      <c r="B235" s="32" t="inlineStr">
        <is>
          <t>员工先提出建议，经负责人批准后建立任务执行</t>
        </is>
      </c>
      <c r="C235" s="32" t="inlineStr">
        <is>
          <t>按正常金额×主动倍率</t>
        </is>
      </c>
      <c r="D235" s="32" t="inlineStr">
        <is>
          <t>只按普通金额结算，遗漏适用主动倍率</t>
        </is>
      </c>
      <c r="E235" s="32" t="inlineStr">
        <is>
          <t>先提出即属主动发起，补建任务不改变来源</t>
        </is>
      </c>
      <c r="F235" s="32" t="inlineStr">
        <is>
          <t>主动改善评价·A17</t>
        </is>
      </c>
    </row>
    <row r="236">
      <c r="A236" s="32" t="n">
        <v>5</v>
      </c>
      <c r="B236" s="32" t="inlineStr">
        <is>
          <t>同一滞留库存问题先Relist再申诉</t>
        </is>
      </c>
      <c r="C236" s="32" t="inlineStr">
        <is>
          <t>合计15元（取最高档）</t>
        </is>
      </c>
      <c r="D236" s="32" t="inlineStr">
        <is>
          <t>移除10元＋申诉15元＝25元</t>
        </is>
      </c>
      <c r="E236" s="32" t="inlineStr">
        <is>
          <t>同一问题连续处理只取最高适用金额</t>
        </is>
      </c>
      <c r="F236" s="32" t="inlineStr">
        <is>
          <t>任务评分·滞留库存</t>
        </is>
      </c>
    </row>
    <row r="237">
      <c r="A237" s="32" t="n">
        <v>6</v>
      </c>
      <c r="B237" s="32" t="inlineStr">
        <is>
          <t>上架组包含5个SKU，OA记录5条</t>
        </is>
      </c>
      <c r="C237" s="32" t="inlineStr">
        <is>
          <t>按组总金额计（如52元）</t>
        </is>
      </c>
      <c r="D237" s="32" t="inlineStr">
        <is>
          <t>5条OA各计25元＝125元</t>
        </is>
      </c>
      <c r="E237" s="32" t="inlineStr">
        <is>
          <t>以执行组为单位，OA分摊组总金额</t>
        </is>
      </c>
      <c r="F237" s="32" t="inlineStr">
        <is>
          <t>场景示例·上架组</t>
        </is>
      </c>
    </row>
    <row r="238">
      <c r="A238" s="32" t="n">
        <v>7</v>
      </c>
      <c r="B238" s="32" t="inlineStr">
        <is>
          <t>5个SKU共用同一份新A+</t>
        </is>
      </c>
      <c r="C238" s="32" t="inlineStr">
        <is>
          <t>1份×75元＝75元</t>
        </is>
      </c>
      <c r="D238" s="32" t="inlineStr">
        <is>
          <t>5×75元＝375元</t>
        </is>
      </c>
      <c r="E238" s="32" t="inlineStr">
        <is>
          <t>共用同一份内容只计一份</t>
        </is>
      </c>
      <c r="F238" s="32" t="inlineStr">
        <is>
          <t>任务评分·A+制作发布</t>
        </is>
      </c>
    </row>
    <row r="239">
      <c r="A239" s="32" t="n">
        <v>8</v>
      </c>
      <c r="B239" s="32" t="inlineStr">
        <is>
          <t>同一份A+同一轮修改了6个模块</t>
        </is>
      </c>
      <c r="C239" s="32" t="inlineStr">
        <is>
          <t>合计10元</t>
        </is>
      </c>
      <c r="D239" s="32" t="inlineStr">
        <is>
          <t>6×10元＝60元</t>
        </is>
      </c>
      <c r="E239" s="32" t="inlineStr">
        <is>
          <t>同份同轮合计10元，不按模块数量累加</t>
        </is>
      </c>
      <c r="F239" s="32" t="inlineStr">
        <is>
          <t>任务评分·A+增删修改</t>
        </is>
      </c>
    </row>
    <row r="240">
      <c r="A240" s="32" t="n">
        <v>9</v>
      </c>
      <c r="B240" s="32" t="inlineStr">
        <is>
          <t>同站点1个ASIN的Buy Box异常多次开Case后恢复</t>
        </is>
      </c>
      <c r="C240" s="32" t="inlineStr">
        <is>
          <t>合计15元</t>
        </is>
      </c>
      <c r="D240" s="32" t="inlineStr">
        <is>
          <t>按Case数量计费</t>
        </is>
      </c>
      <c r="E240" s="32" t="inlineStr">
        <is>
          <t>按ASIN计费，同一ASIN多个SKU或多个Case不增加金额</t>
        </is>
      </c>
      <c r="F240" s="32" t="inlineStr">
        <is>
          <t>任务评分·Buy Box</t>
        </is>
      </c>
    </row>
    <row r="241">
      <c r="A241" s="32" t="n">
        <v>10</v>
      </c>
      <c r="B241" s="32" t="inlineStr">
        <is>
          <t>同一Listing标题在复盘前又做了一次优化修改</t>
        </is>
      </c>
      <c r="C241" s="32" t="inlineStr">
        <is>
          <t>并入原任务，不新增金额</t>
        </is>
      </c>
      <c r="D241" s="32" t="inlineStr">
        <is>
          <t>新建优化任务再计10元</t>
        </is>
      </c>
      <c r="E241" s="32" t="inlineStr">
        <is>
          <t>同模块复盘前追加并入，不重复</t>
        </is>
      </c>
      <c r="F241" s="32" t="inlineStr">
        <is>
          <t>优化登记与复盘规则</t>
        </is>
      </c>
    </row>
    <row r="242">
      <c r="A242" s="32" t="n">
        <v>11</v>
      </c>
      <c r="B242" s="32" t="inlineStr">
        <is>
          <t>创建1个SP Campaign产生多条Ads Change记录</t>
        </is>
      </c>
      <c r="C242" s="32" t="inlineStr">
        <is>
          <t>只计一次15元</t>
        </is>
      </c>
      <c r="D242" s="32" t="inlineStr">
        <is>
          <t>按Ads Change条数计费</t>
        </is>
      </c>
      <c r="E242" s="32" t="inlineStr">
        <is>
          <t>以Campaign ID去重</t>
        </is>
      </c>
      <c r="F242" s="32" t="inlineStr">
        <is>
          <t>任务评分·SP广告创建</t>
        </is>
      </c>
    </row>
    <row r="243">
      <c r="A243" s="32" t="n">
        <v>12</v>
      </c>
      <c r="B243" s="32" t="inlineStr">
        <is>
          <t>纠错修复的是自己上次操作造成的错误</t>
        </is>
      </c>
      <c r="C243" s="32" t="inlineStr">
        <is>
          <t>不新增任务金额或主动金额</t>
        </is>
      </c>
      <c r="D243" s="32" t="inlineStr">
        <is>
          <t>计纠错10元/错误点</t>
        </is>
      </c>
      <c r="E243" s="32" t="inlineStr">
        <is>
          <t>修复本人错误属于返工</t>
        </is>
      </c>
      <c r="F243" s="32" t="inlineStr">
        <is>
          <t>运营工作明细·Listing纠错</t>
        </is>
      </c>
    </row>
    <row r="244">
      <c r="A244" s="100" t="n">
        <v>13</v>
      </c>
      <c r="B244" s="100" t="inlineStr">
        <is>
          <t>3个尺寸共用同一套调研方案，是否分别领取75元？</t>
        </is>
      </c>
      <c r="C244" s="100" t="inlineStr">
        <is>
          <t>共用方案只计一次75元</t>
        </is>
      </c>
      <c r="D244" s="100" t="inlineStr">
        <is>
          <t>每个尺寸各领75元＝225元</t>
        </is>
      </c>
      <c r="E244" s="100" t="inlineStr">
        <is>
          <t>共用调研/厂家/验证方案不重复领取</t>
        </is>
      </c>
      <c r="F244" s="100" t="inlineStr">
        <is>
          <t>任务评分·新品开发</t>
        </is>
      </c>
    </row>
    <row r="245">
      <c r="A245" s="100" t="n">
        <v>14</v>
      </c>
      <c r="B245" s="100" t="inlineStr">
        <is>
          <t>已完成A+制作（75元），是否可同时计图片策划50元？</t>
        </is>
      </c>
      <c r="C245" s="100" t="inlineStr">
        <is>
          <t>A+已含素材策划，不另计</t>
        </is>
      </c>
      <c r="D245" s="100" t="inlineStr">
        <is>
          <t>叠加计75＋50＝125元</t>
        </is>
      </c>
      <c r="E245" s="100" t="inlineStr">
        <is>
          <t>A+制作已包含素材策划</t>
        </is>
      </c>
      <c r="F245" s="100" t="inlineStr">
        <is>
          <t>任务评分·产品图片策划</t>
        </is>
      </c>
    </row>
    <row r="246">
      <c r="A246" s="100" t="n">
        <v>15</v>
      </c>
      <c r="B246" s="100" t="inlineStr">
        <is>
          <t>调研/找厂已交付产品资料，是否可再计资料整理40元？</t>
        </is>
      </c>
      <c r="C246" s="100" t="inlineStr">
        <is>
          <t>已交付的相同资料不重复计</t>
        </is>
      </c>
      <c r="D246" s="100" t="inlineStr">
        <is>
          <t>调研75＋资料40＝叠加115元</t>
        </is>
      </c>
      <c r="E246" s="100" t="inlineStr">
        <is>
          <t>同一交付不按两个项目分别领取</t>
        </is>
      </c>
      <c r="F246" s="100" t="inlineStr">
        <is>
          <t>任务评分·产品资料整理</t>
        </is>
      </c>
    </row>
    <row r="247">
      <c r="A247" s="0" t="n">
        <v>16</v>
      </c>
      <c r="B247" s="0" t="inlineStr">
        <is>
          <t>Brand Story全新策划75元与A+制作发布75元是否叠加？</t>
        </is>
      </c>
      <c r="C247" s="0" t="inlineStr">
        <is>
          <t>确有独立交付时可分别计费，合计150元</t>
        </is>
      </c>
      <c r="D247" s="0" t="inlineStr">
        <is>
          <t>共用相同素材或策划，仅做一套内容却按两个项目各报75元</t>
        </is>
      </c>
      <c r="E247" s="0" t="inlineStr">
        <is>
          <t>Brand Story与A+为独立内容模块；同一份素材或策划不按名称重复领取</t>
        </is>
      </c>
      <c r="F247" s="0" t="inlineStr">
        <is>
          <t>任务评分·Brand Story / A+制作发布</t>
        </is>
      </c>
    </row>
    <row r="248">
      <c r="A248" s="0" t="n">
        <v>17</v>
      </c>
      <c r="B248" s="0" t="inlineStr">
        <is>
          <t>跟卖监控5元与跟卖取证30元是否叠加？</t>
        </is>
      </c>
      <c r="C248" s="0" t="inlineStr">
        <is>
          <t>监控和取证是独立任务，分别计费</t>
        </is>
      </c>
      <c r="D248" s="0" t="inlineStr">
        <is>
          <t>取证包含监控，只计30元</t>
        </is>
      </c>
      <c r="E248" s="0" t="inlineStr">
        <is>
          <t>监控为固定巡检，取证为独立案件处理，可同时存在</t>
        </is>
      </c>
      <c r="F248" s="0" t="inlineStr">
        <is>
          <t>任务评分·品牌保护</t>
        </is>
      </c>
    </row>
    <row r="249">
      <c r="A249" s="0" t="n">
        <v>18</v>
      </c>
      <c r="B249" s="0" t="inlineStr">
        <is>
          <t>Virtual Bundle创建25元与Listing创建25元是否叠加？</t>
        </is>
      </c>
      <c r="C249" s="0" t="inlineStr">
        <is>
          <t>Virtual Bundle已含初始配置，不叠加Listing创建</t>
        </is>
      </c>
      <c r="D249" s="0" t="inlineStr">
        <is>
          <t>分别计50元</t>
        </is>
      </c>
      <c r="E249" s="0" t="inlineStr">
        <is>
          <t>VB创建已包含文案填入和图片配置</t>
        </is>
      </c>
      <c r="F249" s="0" t="inlineStr">
        <is>
          <t>任务评分·Virtual Bundle</t>
        </is>
      </c>
    </row>
    <row r="250">
      <c r="A250" s="0" t="n">
        <v>19</v>
      </c>
      <c r="B250" s="0" t="inlineStr">
        <is>
          <t>利润分析完成后另行改价，是否叠加？</t>
        </is>
      </c>
      <c r="C250" s="0" t="inlineStr">
        <is>
          <t>分析30元＋价格调整15元，分别计费</t>
        </is>
      </c>
      <c r="D250" s="0" t="inlineStr">
        <is>
          <t>分析已包含改价</t>
        </is>
      </c>
      <c r="E250" s="0" t="inlineStr">
        <is>
          <t>分析是交付报告和建议，改价是独立执行任务</t>
        </is>
      </c>
      <c r="F250" s="0" t="inlineStr">
        <is>
          <t>任务评分·利润分析 / 价格调整</t>
        </is>
      </c>
    </row>
    <row r="251">
      <c r="A251" s="0" t="n">
        <v>20</v>
      </c>
      <c r="B251" s="0" t="inlineStr">
        <is>
          <t>同一案件先30元举报后补Test Buy，是否计30＋50＝80元？</t>
        </is>
      </c>
      <c r="C251" s="0" t="inlineStr">
        <is>
          <t>先结30元，补足至50元，不超过50元</t>
        </is>
      </c>
      <c r="D251" s="0" t="inlineStr">
        <is>
          <t>分别计80元</t>
        </is>
      </c>
      <c r="E251" s="0" t="inlineStr">
        <is>
          <t>两档只取最高，先结30元后补足最多20元</t>
        </is>
      </c>
      <c r="F251" s="0" t="inlineStr">
        <is>
          <t>任务评分·跟卖取证</t>
        </is>
      </c>
    </row>
  </sheetData>
  <mergeCells count="14">
    <mergeCell ref="A70:H70"/>
    <mergeCell ref="A143:H143"/>
    <mergeCell ref="A109:H109"/>
    <mergeCell ref="A87:H87"/>
    <mergeCell ref="A134:H134"/>
    <mergeCell ref="A186:H186"/>
    <mergeCell ref="A196:H196"/>
    <mergeCell ref="A160:H160"/>
    <mergeCell ref="A117:H117"/>
    <mergeCell ref="A98:H98"/>
    <mergeCell ref="A151:H151"/>
    <mergeCell ref="A178:H178"/>
    <mergeCell ref="A126:H126"/>
    <mergeCell ref="A168:H168"/>
  </mergeCells>
  <dataValidations count="3">
    <dataValidation sqref="C8:C20" showDropDown="0" showInputMessage="0" showErrorMessage="0" allowBlank="0" type="decimal" operator="between">
      <formula1>0</formula1>
      <formula2>1000</formula2>
    </dataValidation>
    <dataValidation sqref="C44:C47" showDropDown="0" showInputMessage="0" showErrorMessage="0" allowBlank="0" type="whole" operator="between">
      <formula1>1</formula1>
      <formula2>100000</formula2>
    </dataValidation>
    <dataValidation sqref="D8:D20 E44:E47" showDropDown="0" showInputMessage="0" showErrorMessage="0" allowBlank="0" type="list">
      <formula1>"1,1.3,1.6"</formula1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pane ySplit="1" topLeftCell="A2" activePane="bottomLeft" state="frozen"/>
      <selection activeCell="A1" sqref="A1"/>
    </sheetView>
  </sheetViews>
  <sheetFormatPr baseColWidth="8" defaultColWidth="9" defaultRowHeight="13.5"/>
  <cols>
    <col width="24" customWidth="1" style="1" min="1" max="1"/>
    <col width="115" customWidth="1" style="1" min="2" max="2"/>
  </cols>
  <sheetData>
    <row r="1" ht="32" customHeight="1" s="1">
      <c r="A1" s="3" t="inlineStr">
        <is>
          <t>规则项目</t>
        </is>
      </c>
      <c r="B1" s="3" t="inlineStr">
        <is>
          <t>执行标准（试行，可后续调整）</t>
        </is>
      </c>
    </row>
    <row r="2" ht="100" customHeight="1" s="1">
      <c r="A2" s="3" t="inlineStr">
        <is>
          <t>适用范围</t>
        </is>
      </c>
      <c r="B2" s="3" t="inlineStr">
        <is>
          <t>适用于已有Listing标题、五点、描述、Generic Keywords及A+等内容的实质优化。新品首次文案编写按对应编写项目验收可用定稿，不强制等待上线效果复盘；首次A+制作完成发布及应用核验后验收。首次内容交付后继续修订原稿不自动成为新优化任务。</t>
        </is>
      </c>
    </row>
    <row r="3" ht="100" customHeight="1" s="1">
      <c r="A3" s="3" t="inlineStr">
        <is>
          <t>优化前登记</t>
        </is>
      </c>
      <c r="B3" s="3" t="inlineStr">
        <is>
          <t>登记任务编号、人员、站点、Listing/SKU或A+内容编号、具体问题、证据、拟修改模块、预期目标、预计金额及复盘日期。负责人确认后执行；主动提出的方案同样登记。</t>
        </is>
      </c>
    </row>
    <row r="4" ht="100" customHeight="1" s="1">
      <c r="A4" s="3" t="inlineStr">
        <is>
          <t>有效优化</t>
        </is>
      </c>
      <c r="B4" s="3" t="inlineStr">
        <is>
          <t>必须针对具体问题进行实质改进。无依据地换同义词、调整语序、反复恢复旧版等，不作为新优化任务计费。资料修正属于纠错时按纠错规则。 上架中用Codex改写已有文案已含上架基础金额，不另计内容编写；需独立研究和构思并交付原创文案时才另计。</t>
        </is>
      </c>
    </row>
    <row r="5" ht="100" customHeight="1" s="1">
      <c r="A5" s="3" t="inlineStr">
        <is>
          <t>计费单位</t>
        </is>
      </c>
      <c r="B5" s="3" t="inlineStr">
        <is>
          <t>标题10元/个；五点15元/套（改1点或全部五点均15元）；描述15元/份；Generic Keywords 10元/套；独立全新或完全重做A+75元/份；同一份A+同一轮局部修改10元。系数均固定1.0。</t>
        </is>
      </c>
    </row>
    <row r="6" ht="100" customHeight="1" s="1">
      <c r="A6" s="3" t="inlineStr">
        <is>
          <t>复盘前合并</t>
        </is>
      </c>
      <c r="B6" s="3" t="inlineStr">
        <is>
          <t>同一站点、同一Listing的同一模块，或同一份共享A+，在上轮复盘完成前不得再领取该模块的新优化金额。追加修改、调试、回滚、返工并入原任务；换OA编号、拆分五点、换人员或跨月不解除限制。</t>
        </is>
      </c>
    </row>
    <row r="7" ht="100" customHeight="1" s="1">
      <c r="A7" s="3" t="inlineStr">
        <is>
          <t>不同模块</t>
        </is>
      </c>
      <c r="B7" s="3" t="inlineStr">
        <is>
          <t>同一Listing的其他模块有独立问题和目标时可以纳入当前方案，按实际模块计一次。共同优化尽量一次登记、统一复盘，不把连续修改拆成多轮领取金额。</t>
        </is>
      </c>
    </row>
    <row r="8" ht="100" customHeight="1" s="1">
      <c r="A8" s="3" t="inlineStr">
        <is>
          <t>复盘时间</t>
        </is>
      </c>
      <c r="B8" s="3" t="inlineStr">
        <is>
          <t>试行默认：内容实际生效后14天复盘。登记生效日、观察区间及到期日；数据不足可记录原因和新日期继续观察。不能仅凭等待满14天认定完成复盘。</t>
        </is>
      </c>
    </row>
    <row r="9" ht="100" customHeight="1" s="1">
      <c r="A9" s="3" t="inlineStr">
        <is>
          <t>复盘内容</t>
        </is>
      </c>
      <c r="B9" s="3" t="inlineStr">
        <is>
          <t>核对原问题是否改善，提供修改前后内容及可获得的相关数据，注明价格、广告、库存等同期变化，形成保留、调整、回滚或继续观察的结论。结论为继续观察时保持待复盘。</t>
        </is>
      </c>
    </row>
    <row r="10" ht="100" customHeight="1" s="1">
      <c r="A10" s="3" t="inlineStr">
        <is>
          <t>金额结算</t>
        </is>
      </c>
      <c r="B10" s="3" t="inlineStr">
        <is>
          <t>负责人安排的优化先登记预计任务金额，内容发布核验且复盘形成结论后结算。自主发起改善按正常任务金额×主动倍率结算（见"任务评分"主动执行倍率规则），不再使用主动改善等级金额。结果未增长不自动判为零金额，按依据、实际交付及复盘验收；同一工作不跨两条路径重复计费。 新品首次文案编写按可用定稿验收，不适用本页优化复盘等待要求；其他制作及发布任务按各项目完成条件验收。</t>
        </is>
      </c>
    </row>
    <row r="11" ht="100" customHeight="1" s="1">
      <c r="A11" s="3" t="inlineStr">
        <is>
          <t>允许下一轮的条件</t>
        </is>
      </c>
      <c r="B11" s="3" t="inlineStr">
        <is>
          <t>上一轮已完成复盘，且出现新证据、新问题或经确认的新目标，才能建立新的计费优化任务。完成复盘本身不是再次领取金额的依据。</t>
        </is>
      </c>
    </row>
    <row r="12" ht="100" customHeight="1" s="1">
      <c r="A12" s="3" t="inlineStr">
        <is>
          <t>紧急纠错</t>
        </is>
      </c>
      <c r="B12" s="3" t="inlineStr">
        <is>
          <t>事实错误或合规展示问题应及时处理，不因等待复盘拖延。是否另计酬须按本页“责任纠错与资料变更”规则核定：本人责任纠错不另计酬；按原确认资料正确执行后的新增变更，按对应任务验收计酬。</t>
        </is>
      </c>
    </row>
    <row r="13" ht="100" customHeight="1" s="1">
      <c r="A13" s="3" t="inlineStr">
        <is>
          <t>避免交叉重复</t>
        </is>
      </c>
      <c r="B13" s="3" t="inlineStr">
        <is>
          <t>同一A+重做只在一个工作项目领取75元；同一纠错不再领取优化或图片修改金额。共享A+按内容编号管理，不因绑定多个SKU重复领取内容制作或模块修改金额。</t>
        </is>
      </c>
    </row>
    <row r="14" ht="100" customHeight="1" s="1">
      <c r="A14" s="3" t="inlineStr">
        <is>
          <t>主动改善衔接</t>
        </is>
      </c>
      <c r="B14" s="3" t="inlineStr">
        <is>
          <t>按实际发起来源确定适用倍率，主动提出后经批准或补建任务不改变来源。任务绩效金额＝累计基础金额×难度系数×适用主动倍率；负责人安排或固定例行任务倍率1。每项任务只结算一次，最终金额保留2位小数；月度任务绩效为当月已验收任务金额之和。 经验证的业务改善可另外申请成果奖励，按“改善成果奖励”页核定；负责人安排和主动发起均可申请，不与任务金额混算倍率。月度另加当月已核定成果奖励，已发部分不重复结算。</t>
        </is>
      </c>
    </row>
    <row r="15" ht="100" customHeight="1" s="1">
      <c r="A15" s="3" t="inlineStr">
        <is>
          <t>台账字段</t>
        </is>
      </c>
      <c r="B15" s="3" t="inlineStr">
        <is>
          <t>任务编号｜人员｜站点｜Listing/SKU或内容编号｜优化模块｜问题与证据｜预期目标｜修改前后内容｜预计金额｜实际生效日｜计划复盘日｜状态｜复盘证据与结论｜实际结算金额｜结算月｜关联主动改善编号。</t>
        </is>
      </c>
    </row>
    <row r="16" ht="100" customHeight="1" s="1">
      <c r="A16" s="3" t="inlineStr">
        <is>
          <t>状态流转</t>
        </is>
      </c>
      <c r="B16" s="3" t="inlineStr">
        <is>
          <t>待确认 → 执行中 → 待生效核验 → 待复盘 → 已完成/已结算。数据不足记录延期；复盘未完成不建立同模块的新计费任务。</t>
        </is>
      </c>
    </row>
    <row r="17" ht="65" customHeight="1" s="1">
      <c r="A17" s="111" t="inlineStr">
        <is>
          <t>责任纠错与资料变更</t>
        </is>
      </c>
      <c r="B17" s="112" t="inlineStr">
        <is>
          <t>以下规则适用于所有工作项目，包括新品开发、运营执行和主动改善。判断依据是操作当时已确认的资料及执行记录，不以产品归属或当前参数倒推责任。</t>
        </is>
      </c>
    </row>
    <row r="18" ht="115" customHeight="1" s="1">
      <c r="A18" s="108" t="inlineStr">
        <is>
          <t>本人责任纠错不另计酬</t>
        </is>
      </c>
      <c r="B18" s="107" t="inlineStr">
        <is>
          <t>因本人操作、编写或应核验事项的疏漏造成的错误，后续纠错、补交及返工属于原任务责任范围，不另计任务报酬、主动加成或成果奖励。跨月、补建OA任务不改变规则。本人开发产品也按此规则，不将该产品后续所有新增工作一律视为返工。</t>
        </is>
      </c>
    </row>
    <row r="19" ht="115" customHeight="1" s="1">
      <c r="A19" s="106" t="inlineStr">
        <is>
          <t>执行错误如何判定</t>
        </is>
      </c>
      <c r="B19" s="105" t="inlineStr">
        <is>
          <t>当时确认资料正确，员工填写或上传结果与之不一致，属于执行错误。例：确认12V，上传24V，本人更正为12V不另计酬。资料缺失或冲突时未经确认自行填写导致错误，也属于责任纠错。</t>
        </is>
      </c>
    </row>
    <row r="20" ht="115" customHeight="1" s="1">
      <c r="A20" s="108" t="inlineStr">
        <is>
          <t>负责人更新或更正资料</t>
        </is>
      </c>
      <c r="B20" s="107" t="inlineStr">
        <is>
          <t>员工按当时确认资料正确执行，之后负责人更新或更正参数，对执行员工而言按新增修改任务计酬。例：确认12V且上传12V，后续通知改24V，可按对应任务计酬。员工提出疑问并取得确认后正确执行的，适用同一原则。</t>
        </is>
      </c>
    </row>
    <row r="21" ht="115" customHeight="1" s="1">
      <c r="A21" s="106" t="inlineStr">
        <is>
          <t>开发责任与新增需求</t>
        </is>
      </c>
      <c r="B21" s="105" t="inlineStr">
        <is>
          <t>本人开发时应确认的参数、资料、图片信息或字幕有误或遗漏，或约定样品评估漏检，后续补救不另计酬。产品后续真实规格变更、新客户反馈带来的有效优化、平台规则变化或系统异常，可按对应新增任务计酬。同一人兼任产品负责人及执行人，不得通过更新资料将本人原有错误变为新增任务。</t>
        </is>
      </c>
    </row>
    <row r="22" ht="115" customHeight="1" s="1">
      <c r="A22" s="108" t="inlineStr">
        <is>
          <t>保留原资料和执行证据</t>
        </is>
      </c>
      <c r="B22" s="107" t="inlineStr">
        <is>
          <t>OA保留操作当时的附件或确认内容、版本及确认时间，后续新文件不得覆盖旧版本。员工自行编写的资料也保留提交确认版本；关联上传文件、修改记录或结果截图，以便比对当时依据和实际执行。</t>
        </is>
      </c>
    </row>
    <row r="23" ht="115" customHeight="1" s="1">
      <c r="A23" s="106" t="inlineStr">
        <is>
          <t>更正登记与责任确认</t>
        </is>
      </c>
      <c r="B23" s="105" t="inlineStr">
        <is>
          <t>更正记录填写原任务编号、原资料版本、原值→新值、变更原因、执行证据及确认人。原因选择“本人责任纠错”或“负责人更新／更正资料等新增变更”；无法判断先标“待核实”。负责人核实确认，不能仅凭员工自行选择类别结算。</t>
        </is>
      </c>
    </row>
    <row r="24" ht="115" customHeight="1" s="1">
      <c r="A24" s="108" t="inlineStr">
        <is>
          <t>证据不足与结算</t>
        </is>
      </c>
      <c r="B24" s="107" t="inlineStr">
        <is>
          <t>找不到原资料或证据相互冲突时，不直接认定员工操作错误，由负责人核实并记录结论，待核实期间暂不结算该更正任务。确认属于本人责任纠错后，结算金额为0，保留处理记录且不计主动加成和成果奖励；确认属于新增变更后按对应任务标准验收结算。</t>
        </is>
      </c>
    </row>
    <row r="25" ht="130" customHeight="1" s="1">
      <c r="A25" s="125" t="inlineStr">
        <is>
          <t>参数更新与已有项目</t>
        </is>
      </c>
      <c r="B25" s="125" t="inlineStr">
        <is>
          <t>商品属性或参数更新不新增独立收费行。按实际修改对象使用现有Listing纠错、内容优化或变体关系维护项目；涉及Case时使用对应异常项目，同一交付只计一次。原错误修正与负责人后续更新参数按本页责任判定规则区分，不将准确的新参数更新直接认定为本人纠错。现有项目未覆盖的后台属性批量更新，应先明确适用任务及金额，不自行按多个文案模块叠加。</t>
        </is>
      </c>
    </row>
    <row r="26" ht="100" customHeight="1" s="1">
      <c r="A26" s="133" t="inlineStr">
        <is>
          <t>系列新品共用内容</t>
        </is>
      </c>
      <c r="B26" s="133" t="inlineStr">
        <is>
          <t>同一系列仅参数不同的首次内容，按独立原创套数计酬；参数替换、复制填表不按每个Listing领取原创费。详见“系列开发计酬”，共用与独立内容须关联同一系列项目编号并确认。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5" topLeftCell="A6" activePane="bottomLeft" state="frozen"/>
      <selection activeCell="A1" sqref="A1"/>
    </sheetView>
  </sheetViews>
  <sheetFormatPr baseColWidth="8" defaultColWidth="9" defaultRowHeight="13.5"/>
  <cols>
    <col width="22" customWidth="1" style="1" min="1" max="1"/>
    <col width="10" customWidth="1" style="1" min="2" max="2"/>
    <col width="43" customWidth="1" style="1" min="3" max="3"/>
    <col width="65" customWidth="1" style="1" min="4" max="4"/>
    <col width="55" customWidth="1" style="1" min="5" max="5"/>
    <col width="53" customWidth="1" style="1" min="6" max="6"/>
    <col width="55" customWidth="1" style="1" min="7" max="7"/>
  </cols>
  <sheetData>
    <row r="1" ht="35" customHeight="1" s="1">
      <c r="A1" s="2" t="inlineStr">
        <is>
          <t>原Campaign分类计费规则已停用</t>
        </is>
      </c>
    </row>
    <row r="2" ht="65" customHeight="1" s="1">
      <c r="A2" s="3" t="inlineStr">
        <is>
          <t>本页原分类档位规则不再适用。当前广告调整按任务评分表的人民币金额和每周频次规则结算。</t>
        </is>
      </c>
    </row>
    <row r="3" ht="65" customHeight="1" s="1">
      <c r="A3" s="3" t="n"/>
    </row>
    <row r="4" ht="13.85000038146973" customHeight="1" s="1">
      <c r="A4" s="4" t="inlineStr">
        <is>
          <t>本表已于2026年9月归档。现行计费以"任务评分"及"主动改善评价"为准。保留仅供历史参考。</t>
        </is>
      </c>
      <c r="B4" s="3" t="n"/>
      <c r="C4" s="3" t="n"/>
      <c r="D4" s="3" t="n"/>
      <c r="E4" s="3" t="n"/>
      <c r="F4" s="3" t="n"/>
      <c r="G4" s="3" t="n"/>
    </row>
    <row r="5" ht="34" customHeight="1" s="1">
      <c r="A5" s="2" t="n"/>
      <c r="B5" s="2" t="n"/>
      <c r="C5" s="2" t="n"/>
      <c r="D5" s="2" t="n"/>
      <c r="E5" s="2" t="n"/>
      <c r="F5" s="2" t="n"/>
      <c r="G5" s="2" t="n"/>
    </row>
    <row r="6" ht="250" customHeight="1" s="1">
      <c r="A6" s="3" t="n"/>
      <c r="B6" s="5" t="n"/>
      <c r="C6" s="3" t="n"/>
      <c r="D6" s="3" t="n"/>
      <c r="E6" s="3" t="n"/>
      <c r="F6" s="3" t="n"/>
      <c r="G6" s="3" t="n"/>
    </row>
    <row r="7" ht="230" customHeight="1" s="1">
      <c r="A7" s="3" t="n"/>
      <c r="B7" s="5" t="n"/>
      <c r="C7" s="3" t="n"/>
      <c r="D7" s="3" t="n"/>
      <c r="E7" s="3" t="n"/>
      <c r="F7" s="3" t="n"/>
      <c r="G7" s="3" t="n"/>
    </row>
    <row r="8" ht="230" customHeight="1" s="1">
      <c r="A8" s="3" t="n"/>
      <c r="B8" s="5" t="n"/>
      <c r="C8" s="3" t="n"/>
      <c r="D8" s="3" t="n"/>
      <c r="E8" s="3" t="n"/>
      <c r="F8" s="3" t="n"/>
      <c r="G8" s="3" t="n"/>
    </row>
    <row r="9" ht="230" customHeight="1" s="1">
      <c r="A9" s="3" t="n"/>
      <c r="B9" s="5" t="n"/>
      <c r="C9" s="3" t="n"/>
      <c r="D9" s="3" t="n"/>
      <c r="E9" s="3" t="n"/>
      <c r="F9" s="3" t="n"/>
      <c r="G9" s="3" t="n"/>
    </row>
    <row r="10" ht="230" customHeight="1" s="1">
      <c r="A10" s="3" t="n"/>
      <c r="B10" s="5" t="n"/>
      <c r="C10" s="3" t="n"/>
      <c r="D10" s="3" t="n"/>
      <c r="E10" s="3" t="n"/>
      <c r="F10" s="3" t="n"/>
      <c r="G10" s="3" t="n"/>
    </row>
    <row r="11" ht="13.85000038146973" customHeight="1" s="1">
      <c r="A11" s="3" t="n"/>
      <c r="B11" s="3" t="n"/>
      <c r="C11" s="3" t="n"/>
      <c r="D11" s="3" t="n"/>
      <c r="E11" s="3" t="n"/>
      <c r="F11" s="3" t="n"/>
      <c r="G11" s="3" t="n"/>
    </row>
    <row r="12" ht="13.85000038146973" customHeight="1" s="1">
      <c r="A12" s="3" t="n"/>
      <c r="B12" s="3" t="n"/>
      <c r="C12" s="3" t="n"/>
      <c r="D12" s="3" t="n"/>
      <c r="E12" s="3" t="n"/>
      <c r="F12" s="3" t="n"/>
      <c r="G12" s="3" t="n"/>
    </row>
    <row r="13" ht="30" customHeight="1" s="1">
      <c r="A13" s="2" t="n"/>
    </row>
    <row r="14" ht="120" customHeight="1" s="1">
      <c r="A14" s="3" t="n"/>
      <c r="C14" s="3" t="n"/>
    </row>
    <row r="15" ht="85" customHeight="1" s="1">
      <c r="A15" s="3" t="n"/>
      <c r="C15" s="3" t="n"/>
    </row>
    <row r="16" ht="65" customHeight="1" s="1">
      <c r="A16" s="3" t="n"/>
      <c r="C16" s="3" t="n"/>
    </row>
    <row r="17" ht="65" customHeight="1" s="1">
      <c r="A17" s="3" t="n"/>
      <c r="C17" s="3" t="n"/>
    </row>
    <row r="18" ht="65" customHeight="1" s="1">
      <c r="A18" s="3" t="n"/>
      <c r="C18" s="3" t="n"/>
    </row>
    <row r="19" ht="65" customHeight="1" s="1">
      <c r="A19" s="3" t="n"/>
      <c r="C19" s="3" t="n"/>
    </row>
    <row r="20" ht="85" customHeight="1" s="1">
      <c r="A20" s="3" t="n"/>
      <c r="C20" s="3" t="n"/>
    </row>
    <row r="21" ht="65" customHeight="1" s="1">
      <c r="A21" s="3" t="n"/>
      <c r="C21" s="3" t="n"/>
    </row>
    <row r="22" ht="100" customHeight="1" s="1">
      <c r="A22" s="3" t="n"/>
      <c r="C22" s="3" t="n"/>
    </row>
    <row r="23" ht="100" customHeight="1" s="1">
      <c r="A23" s="3" t="n"/>
      <c r="C23" s="3" t="n"/>
    </row>
  </sheetData>
  <mergeCells count="24">
    <mergeCell ref="A15:B15"/>
    <mergeCell ref="C15:G15"/>
    <mergeCell ref="C14:G14"/>
    <mergeCell ref="A13:G13"/>
    <mergeCell ref="A16:B16"/>
    <mergeCell ref="C20:G20"/>
    <mergeCell ref="C16:G16"/>
    <mergeCell ref="A18:B18"/>
    <mergeCell ref="C22:G22"/>
    <mergeCell ref="A21:B21"/>
    <mergeCell ref="C21:G21"/>
    <mergeCell ref="A1:G1"/>
    <mergeCell ref="A14:B14"/>
    <mergeCell ref="A23:B23"/>
    <mergeCell ref="A17:B17"/>
    <mergeCell ref="C23:G23"/>
    <mergeCell ref="A22:B22"/>
    <mergeCell ref="C17:G17"/>
    <mergeCell ref="A20:B20"/>
    <mergeCell ref="A3:G3"/>
    <mergeCell ref="A19:B19"/>
    <mergeCell ref="C19:G19"/>
    <mergeCell ref="A2:G2"/>
    <mergeCell ref="C18:G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7" customWidth="1" style="1" min="1" max="1"/>
    <col width="40" customWidth="1" style="1" min="2" max="2"/>
    <col width="48" customWidth="1" style="1" min="3" max="3"/>
    <col width="48" customWidth="1" style="1" min="4" max="4"/>
    <col width="52" customWidth="1" style="1" min="5" max="5"/>
  </cols>
  <sheetData>
    <row r="1" ht="36" customHeight="1" s="1">
      <c r="A1" s="77" t="inlineStr">
        <is>
          <t>改善成果奖励规则</t>
        </is>
      </c>
    </row>
    <row r="2" ht="85" customHeight="1" s="1">
      <c r="A2" s="125" t="inlineStr">
        <is>
          <t>适用范围</t>
        </is>
      </c>
      <c r="B2" s="125" t="inlineStr">
        <is>
          <t>负责人安排或员工主动发起的改善均可申报。任务金额奖励已完成的工作，成果奖励认可经验证的业务改善；同一工作可同时获得任务金额和成果奖励。</t>
        </is>
      </c>
    </row>
    <row r="3" ht="36" customHeight="1" s="1">
      <c r="A3" s="77" t="inlineStr">
        <is>
          <t>奖励档位</t>
        </is>
      </c>
      <c r="B3" s="77" t="inlineStr">
        <is>
          <t>核定总奖励（元）</t>
        </is>
      </c>
      <c r="C3" s="77" t="inlineStr">
        <is>
          <t>认定条件</t>
        </is>
      </c>
      <c r="D3" s="77" t="inlineStr">
        <is>
          <t>所需证据</t>
        </is>
      </c>
      <c r="E3" s="77" t="inlineStr">
        <is>
          <t>结算规则</t>
        </is>
      </c>
    </row>
    <row r="4" ht="145" customHeight="1" s="1">
      <c r="A4" s="125" t="inlineStr">
        <is>
          <t>明确改善</t>
        </is>
      </c>
      <c r="B4" s="101" t="n">
        <v>100</v>
      </c>
      <c r="C4" s="125" t="inlineStr">
        <is>
          <t>达到事先确认的改善目标；修改前后有可比数据、样本足够，且未明显损害其他关键指标。</t>
        </is>
      </c>
      <c r="D4" s="125" t="inlineStr">
        <is>
          <t>改善目标、基线及观察区间、修改记录、前后数据和负责人验收。</t>
        </is>
      </c>
      <c r="E4" s="125" t="inlineStr">
        <is>
          <t>同一成果首次达到本档，核定100元；未验收不提前发放。</t>
        </is>
      </c>
    </row>
    <row r="5" ht="145" customHeight="1" s="1">
      <c r="A5" s="125" t="inlineStr">
        <is>
          <t>持续改善</t>
        </is>
      </c>
      <c r="B5" s="101" t="n">
        <v>300</v>
      </c>
      <c r="C5" s="125" t="inlineStr">
        <is>
          <t>已确认的改善在后续复查中保持，带来可说明的经济收益，例如减少退货损失或提高广告后利润。</t>
        </is>
      </c>
      <c r="D5" s="125" t="inlineStr">
        <is>
          <t>首次验收及后续复查、经济收益的测算口径、数据来源和结论。</t>
        </is>
      </c>
      <c r="E5" s="125" t="inlineStr">
        <is>
          <t>300元为该案例本档总奖励；已发100元则本次只补200元，不另发300元。</t>
        </is>
      </c>
    </row>
    <row r="6" ht="145" customHeight="1" s="1">
      <c r="A6" s="125" t="inlineStr">
        <is>
          <t>重大贡献</t>
        </is>
      </c>
      <c r="B6" s="101" t="n"/>
      <c r="C6" s="125" t="inlineStr">
        <is>
          <t>影响范围大、收益明显，普通档位不足以体现贡献。</t>
        </is>
      </c>
      <c r="D6" s="125" t="inlineStr">
        <is>
          <t>成果范围、可说明的收益、参与者贡献及负责人批准记录。</t>
        </is>
      </c>
      <c r="E6" s="125" t="inlineStr">
        <is>
          <t>由负责人另行确定案例总奖励。金额未确定不结算；如有此前奖励，按批准总额扣除累计已奖励金额。</t>
        </is>
      </c>
    </row>
    <row r="7" ht="85" customHeight="1" s="1">
      <c r="A7" s="125" t="inlineStr">
        <is>
          <t>统一原则</t>
        </is>
      </c>
      <c r="B7" s="125" t="inlineStr">
        <is>
          <t>同一成果只取最高核定档，不按月度复盘重复领奖；奖励金额不乘任务难度系数、主动倍率，也不再乘任何积分单价。</t>
        </is>
      </c>
    </row>
    <row r="8" ht="85" customHeight="1" s="1">
      <c r="A8" s="125" t="inlineStr">
        <is>
          <t>登记与验证</t>
        </is>
      </c>
      <c r="B8" s="125" t="inlineStr">
        <is>
          <t>改善前登记问题、目标、衡量指标、基线范围、验证日期和关联任务，由负责人确认；先记录目标不代表提前保证奖励。</t>
        </is>
      </c>
    </row>
    <row r="9" ht="36" customHeight="1" s="1">
      <c r="A9" s="77" t="inlineStr">
        <is>
          <t>验收场景</t>
        </is>
      </c>
      <c r="B9" s="77" t="inlineStr">
        <is>
          <t>重点观察</t>
        </is>
      </c>
      <c r="C9" s="77" t="inlineStr">
        <is>
          <t>可比性及观察要求</t>
        </is>
      </c>
      <c r="D9" s="77" t="inlineStr">
        <is>
          <t>不应单独作为奖励依据</t>
        </is>
      </c>
      <c r="E9" s="77" t="inlineStr">
        <is>
          <t>处理方式</t>
        </is>
      </c>
    </row>
    <row r="10" ht="145" customHeight="1" s="1">
      <c r="A10" s="125" t="inlineStr">
        <is>
          <t>描述／图片／A+改善退货</t>
        </is>
      </c>
      <c r="B10" s="125" t="inlineStr">
        <is>
          <t>相关退货原因及退货损失是否减少。</t>
        </is>
      </c>
      <c r="C10" s="125" t="inlineStr">
        <is>
          <t>对比修改前后可比订单批次；记录退货率分母及退货观察时长，确保修改后订单已获得足够退货观察期。</t>
        </is>
      </c>
      <c r="D10" s="125" t="inlineStr">
        <is>
          <t>最近几天退货率下降；仅看退货数量、没有订单基数；尚未发生退货被误认为改善。</t>
        </is>
      </c>
      <c r="E10" s="125" t="inlineStr">
        <is>
          <t>达到确认目标并满足样本及观察条件后验收；未成熟或样本不足，继续观察。</t>
        </is>
      </c>
    </row>
    <row r="11" ht="145" customHeight="1" s="1">
      <c r="A11" s="125" t="inlineStr">
        <is>
          <t>内容优化提升销量</t>
        </is>
      </c>
      <c r="B11" s="125" t="inlineStr">
        <is>
          <t>转化率、销量及利润是否改善。</t>
        </is>
      </c>
      <c r="C11" s="125" t="inlineStr">
        <is>
          <t>记录价格、促销、广告投入、库存、季节变化等同期因素；使用能支持判断的可比区间。</t>
        </is>
      </c>
      <c r="D11" s="125" t="inlineStr">
        <is>
          <t>只看销售额增长，忽略降价、广告投入增加或利润下降。</t>
        </is>
      </c>
      <c r="E11" s="125" t="inlineStr">
        <is>
          <t>依据证据判断此次内容调整的贡献；多因素变化且无法支持判断时继续观察。</t>
        </is>
      </c>
    </row>
    <row r="12" ht="145" customHeight="1" s="1">
      <c r="A12" s="125" t="inlineStr">
        <is>
          <t>广告优化提升表现</t>
        </is>
      </c>
      <c r="B12" s="125" t="inlineStr">
        <is>
          <t>广告订单、花费、ACOS及产品整体利润的变化。</t>
        </is>
      </c>
      <c r="C12" s="125" t="inlineStr">
        <is>
          <t>按事先确认目标选择指标，记录对比区间、订单归因等待和同期价格、库存、促销变化。</t>
        </is>
      </c>
      <c r="D12" s="125" t="inlineStr">
        <is>
          <t>只看ACOS降低；缩减投放后销量、利润也下降，不能直接认定为改善。</t>
        </is>
      </c>
      <c r="E12" s="125" t="inlineStr">
        <is>
          <t>结合整体收益核验，不要求所有指标同时上涨；未明显损害关键指标且达到目标后认定。</t>
        </is>
      </c>
    </row>
    <row r="13" ht="85" customHeight="1" s="1">
      <c r="A13" s="125" t="inlineStr">
        <is>
          <t>重复与协作</t>
        </is>
      </c>
      <c r="B13" s="125" t="inlineStr">
        <is>
          <t>同一问题、同一改善目标及同一成果登记唯一成果编号；关联OA或Streamlit任务。多人合作在同一份奖励内分配，个人份额之和不得超过本次可发奖励。</t>
        </is>
      </c>
    </row>
    <row r="14" ht="85" customHeight="1" s="1">
      <c r="A14" s="125" t="inlineStr">
        <is>
          <t>跨月与升级</t>
        </is>
      </c>
      <c r="B14" s="125" t="inlineStr">
        <is>
          <t>已奖励金额跨月累计，不能换月份或任务编号重新领取。按本次核定总奖励减去累计已奖励金额的正差额结算；无新增核定差额则不发放。</t>
        </is>
      </c>
    </row>
    <row r="15" ht="115" customHeight="1" s="1">
      <c r="A15" s="125" t="inlineStr">
        <is>
          <t>任务与成果边界</t>
        </is>
      </c>
      <c r="B15" s="125" t="inlineStr">
        <is>
          <t>任务通过验收可先按任务金额结算；效果仍待观察不阻止已完成任务的结算。成果未达到目标不自动追扣合格任务金额；修复本人错误或无依据操作不作为新成果奖励。 责任以操作当时已确认资料及执行证据为准；本人开发缺陷、本人执行错误的补救均不另计报酬或成果奖，不能通过更新资料或新建任务转为新成果。资料后续更新及证据不足的处理，详见“优化登记与复盘规则”。</t>
        </is>
      </c>
    </row>
    <row r="16" ht="85" customHeight="1" s="1">
      <c r="A16" s="125" t="inlineStr">
        <is>
          <t>月度汇总</t>
        </is>
      </c>
      <c r="B16" s="125" t="inlineStr">
        <is>
          <t>当月任务绩效＝OA已验收任务金额＋Streamlit已验收主动任务金额＋当月已确认且未重复结算的成果奖励（含升级补差）。同一任务同时出现在两处时只保留一份任务金额。</t>
        </is>
      </c>
    </row>
    <row r="17" ht="85" customHeight="1" s="1">
      <c r="A17" s="125" t="inlineStr">
        <is>
          <t>Streamlit字段</t>
        </is>
      </c>
      <c r="B17" s="125" t="inlineStr">
        <is>
          <t>成果编号、负责人及协作者、关联任务、改善对象及站点、问题与措施、改善目标、基线和观察期、前后数据、同期影响因素、复查结论、核定总奖励、累计已奖励金额、本次奖励、核定日期、结算状态和结算月份。</t>
        </is>
      </c>
    </row>
    <row r="18" ht="85" customHeight="1" s="1">
      <c r="A18" s="125" t="inlineStr">
        <is>
          <t>状态</t>
        </is>
      </c>
      <c r="B18" s="125" t="inlineStr">
        <is>
          <t>待确认目标 → 执行／观察中 → 待成果验收 → 已核定 → 已结算；未满足条件则继续观察或注明不予奖励原因。</t>
        </is>
      </c>
    </row>
    <row r="19" ht="36" customHeight="1" s="1">
      <c r="A19" s="77" t="inlineStr">
        <is>
          <t>结算示例</t>
        </is>
      </c>
      <c r="B19" s="77" t="inlineStr">
        <is>
          <t>核定总奖励（元）</t>
        </is>
      </c>
      <c r="C19" s="77" t="inlineStr">
        <is>
          <t>累计已奖励（元）</t>
        </is>
      </c>
      <c r="D19" s="77" t="inlineStr">
        <is>
          <t>本次奖励（元）</t>
        </is>
      </c>
      <c r="E19" s="77" t="inlineStr">
        <is>
          <t>说明</t>
        </is>
      </c>
    </row>
    <row r="20" ht="85" customHeight="1" s="1">
      <c r="A20" s="125" t="inlineStr">
        <is>
          <t>首次达到明确改善</t>
        </is>
      </c>
      <c r="B20" s="129" t="n">
        <v>100</v>
      </c>
      <c r="C20" s="129" t="n">
        <v>0</v>
      </c>
      <c r="D20" s="129">
        <f>MAX(0,B20-C20)</f>
        <v/>
      </c>
      <c r="E20" s="125" t="inlineStr">
        <is>
          <t>本次发100元。</t>
        </is>
      </c>
    </row>
    <row r="21" ht="85" customHeight="1" s="1">
      <c r="A21" s="125" t="inlineStr">
        <is>
          <t>后续达到持续改善</t>
        </is>
      </c>
      <c r="B21" s="129" t="n">
        <v>300</v>
      </c>
      <c r="C21" s="129" t="n">
        <v>100</v>
      </c>
      <c r="D21" s="129">
        <f>MAX(0,B21-C21)</f>
        <v/>
      </c>
      <c r="E21" s="125" t="inlineStr">
        <is>
          <t>本次补200元，累计300元。</t>
        </is>
      </c>
    </row>
    <row r="22" ht="85" customHeight="1" s="1">
      <c r="A22" s="125" t="inlineStr">
        <is>
          <t>同一成果再次复盘，无升级</t>
        </is>
      </c>
      <c r="B22" s="129" t="n">
        <v>300</v>
      </c>
      <c r="C22" s="129" t="n">
        <v>300</v>
      </c>
      <c r="D22" s="129">
        <f>MAX(0,B22-C22)</f>
        <v/>
      </c>
      <c r="E22" s="125" t="inlineStr">
        <is>
          <t>本次0元，不因复盘次数重复领奖。</t>
        </is>
      </c>
    </row>
    <row r="23" ht="36" customHeight="1" s="1">
      <c r="A23" s="77" t="inlineStr">
        <is>
          <t>月底汇总示例</t>
        </is>
      </c>
      <c r="B23" s="77" t="inlineStr">
        <is>
          <t>OA任务金额（元）</t>
        </is>
      </c>
      <c r="C23" s="77" t="inlineStr">
        <is>
          <t>主动任务金额（元）</t>
        </is>
      </c>
      <c r="D23" s="77" t="inlineStr">
        <is>
          <t>成果奖励（元）</t>
        </is>
      </c>
      <c r="E23" s="77" t="inlineStr">
        <is>
          <t>本月合计（元）</t>
        </is>
      </c>
    </row>
    <row r="24" ht="85" customHeight="1" s="1">
      <c r="A24" s="125" t="inlineStr">
        <is>
          <t>某员工</t>
        </is>
      </c>
      <c r="B24" s="129" t="n">
        <v>2000</v>
      </c>
      <c r="C24" s="129" t="n">
        <v>600</v>
      </c>
      <c r="D24" s="129" t="n">
        <v>200</v>
      </c>
      <c r="E24" s="129">
        <f>SUM(B24:D24)</f>
        <v/>
      </c>
    </row>
  </sheetData>
  <mergeCells count="10">
    <mergeCell ref="B17:E17"/>
    <mergeCell ref="B18:E18"/>
    <mergeCell ref="B8:E8"/>
    <mergeCell ref="B13:E13"/>
    <mergeCell ref="B16:E16"/>
    <mergeCell ref="B15:E15"/>
    <mergeCell ref="B7:E7"/>
    <mergeCell ref="A1:E1"/>
    <mergeCell ref="B2:E2"/>
    <mergeCell ref="B14:E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2" customWidth="1" style="1" min="1" max="1"/>
    <col width="24" customWidth="1" style="1" min="2" max="2"/>
    <col width="27" customWidth="1" style="1" min="3" max="3"/>
    <col width="78" customWidth="1" style="1" min="4" max="4"/>
  </cols>
  <sheetData>
    <row r="1" ht="65" customHeight="1" s="1">
      <c r="A1" s="128" t="inlineStr">
        <is>
          <t>系列产品开发计酬规则与结算示例</t>
        </is>
      </c>
    </row>
    <row r="2" ht="65" customHeight="1" s="1">
      <c r="A2" s="125" t="inlineStr">
        <is>
          <t>总原则</t>
        </is>
      </c>
      <c r="B2" s="125" t="inlineStr">
        <is>
          <t>按实际独立交付计酬，不按开发SKU数量乘单品总额。开发阶段费用、上架执行费用分别累计；没有独立交付的环节不计。</t>
        </is>
      </c>
    </row>
    <row r="3" ht="105" customHeight="1" s="1">
      <c r="A3" s="125" t="inlineStr">
        <is>
          <t>同一系列如何认定</t>
        </is>
      </c>
      <c r="B3" s="125" t="inlineStr">
        <is>
          <t>负责人在开发前确认系列项目编号、SKU及参数差异表、共用调研/供应方案、验证范围及内容交付；不能仅凭SKU字母或名称认定。仅一个参数不同通常可共用，但须核实是否影响结构、性能、使用限制或验证要求。</t>
        </is>
      </c>
    </row>
    <row r="4" ht="105" customHeight="1" s="1">
      <c r="A4" s="125" t="inlineStr">
        <is>
          <t>示例边界</t>
        </is>
      </c>
      <c r="B4" s="125" t="inlineStr">
        <is>
          <t>以下是同一人完成、负责人安排、美国站、全部通过验收、无额外资料核实任务的比较。10款只差一个参数，共用一份调研、同一厂家、一个完整验证方案、原创文案、主辅图策划、A+、字幕及视频；10个SKU各自图片上传，共用一张上架表，先按不处理变体计算。</t>
        </is>
      </c>
    </row>
    <row r="5" ht="65" customHeight="1" s="1">
      <c r="A5" s="125" t="inlineStr">
        <is>
          <t>系列上架基础金额（元）</t>
        </is>
      </c>
      <c r="B5" s="132" t="n">
        <v>40</v>
      </c>
      <c r="C5" s="125" t="inlineStr">
        <is>
          <t>按现有上架规则：2个及以上SKU可共用上架表，基础40元；独立上架仍引用任务评分25元。</t>
        </is>
      </c>
    </row>
    <row r="6" ht="65" customHeight="1" s="1">
      <c r="A6" s="128" t="inlineStr">
        <is>
          <t>工作环节</t>
        </is>
      </c>
      <c r="B6" s="128" t="inlineStr">
        <is>
          <t>1个SKU金额（元）</t>
        </is>
      </c>
      <c r="C6" s="128" t="inlineStr">
        <is>
          <t>10个同系列SKU金额（元）</t>
        </is>
      </c>
      <c r="D6" s="128" t="inlineStr">
        <is>
          <t>计费说明</t>
        </is>
      </c>
    </row>
    <row r="7" ht="65" customHeight="1" s="1">
      <c r="A7" s="125" t="inlineStr">
        <is>
          <t>市场调研与产品建议</t>
        </is>
      </c>
      <c r="B7" s="129">
        <f>'任务评分'!C51</f>
        <v/>
      </c>
      <c r="C7" s="129">
        <f>B7</f>
        <v/>
      </c>
      <c r="D7" s="125" t="inlineStr">
        <is>
          <t>共用同一份系列调研，只计一次。</t>
        </is>
      </c>
    </row>
    <row r="8" ht="65" customHeight="1" s="1">
      <c r="A8" s="125" t="inlineStr">
        <is>
          <t>厂家筛选与条件确认</t>
        </is>
      </c>
      <c r="B8" s="129">
        <f>'任务评分'!C52</f>
        <v/>
      </c>
      <c r="C8" s="129">
        <f>B8</f>
        <v/>
      </c>
      <c r="D8" s="125" t="inlineStr">
        <is>
          <t>同一厂家及合作方案涵盖参数差异，只计一次。</t>
        </is>
      </c>
    </row>
    <row r="9" ht="65" customHeight="1" s="1">
      <c r="A9" s="125" t="inlineStr">
        <is>
          <t>样品评估及问题跟进</t>
        </is>
      </c>
      <c r="B9" s="129">
        <f>'任务评分'!C53</f>
        <v/>
      </c>
      <c r="C9" s="129">
        <f>B9</f>
        <v/>
      </c>
      <c r="D9" s="125" t="inlineStr">
        <is>
          <t>约定验证范围完整执行并验收，合并计一次；不代表每个规格都可免检。</t>
        </is>
      </c>
    </row>
    <row r="10" ht="65" customHeight="1" s="1">
      <c r="A10" s="125" t="inlineStr">
        <is>
          <t>主图、辅图策划</t>
        </is>
      </c>
      <c r="B10" s="129">
        <f>'任务评分'!C55</f>
        <v/>
      </c>
      <c r="C10" s="129">
        <f>B10</f>
        <v/>
      </c>
      <c r="D10" s="125" t="inlineStr">
        <is>
          <t>独立于A+的一套主辅图方案；参数替换不视为重新策划。</t>
        </is>
      </c>
    </row>
    <row r="11" ht="65" customHeight="1" s="1">
      <c r="A11" s="125" t="inlineStr">
        <is>
          <t>视频字幕</t>
        </is>
      </c>
      <c r="B11" s="129">
        <f>'任务评分'!C56</f>
        <v/>
      </c>
      <c r="C11" s="129">
        <f>B11</f>
        <v/>
      </c>
      <c r="D11" s="125" t="inlineStr">
        <is>
          <t>共用一份准确适用的字幕稿，只计一次。</t>
        </is>
      </c>
    </row>
    <row r="12" ht="65" customHeight="1" s="1">
      <c r="A12" s="125" t="inlineStr">
        <is>
          <t>原创标题</t>
        </is>
      </c>
      <c r="B12" s="129">
        <f>'任务评分'!C14</f>
        <v/>
      </c>
      <c r="C12" s="129">
        <f>B12</f>
        <v/>
      </c>
      <c r="D12" s="125" t="inlineStr">
        <is>
          <t>共用原创文案，分别替换参数不重复领取原创费。</t>
        </is>
      </c>
    </row>
    <row r="13" ht="65" customHeight="1" s="1">
      <c r="A13" s="125" t="inlineStr">
        <is>
          <t>原创五点</t>
        </is>
      </c>
      <c r="B13" s="129">
        <f>'任务评分'!C15</f>
        <v/>
      </c>
      <c r="C13" s="129">
        <f>B13</f>
        <v/>
      </c>
      <c r="D13" s="125" t="inlineStr">
        <is>
          <t>共用一套五点，不按SKU复制份数累计。</t>
        </is>
      </c>
    </row>
    <row r="14" ht="65" customHeight="1" s="1">
      <c r="A14" s="125" t="inlineStr">
        <is>
          <t>原创描述</t>
        </is>
      </c>
      <c r="B14" s="129">
        <f>'任务评分'!C16</f>
        <v/>
      </c>
      <c r="C14" s="129">
        <f>B14</f>
        <v/>
      </c>
      <c r="D14" s="125" t="inlineStr">
        <is>
          <t>共用一份描述，不按SKU复制份数累计。</t>
        </is>
      </c>
    </row>
    <row r="15" ht="65" customHeight="1" s="1">
      <c r="A15" s="125" t="inlineStr">
        <is>
          <t>Generic Keywords</t>
        </is>
      </c>
      <c r="B15" s="129">
        <f>'任务评分'!C17</f>
        <v/>
      </c>
      <c r="C15" s="129">
        <f>B15</f>
        <v/>
      </c>
      <c r="D15" s="125" t="inlineStr">
        <is>
          <t>共用一套关键词，只计一次。</t>
        </is>
      </c>
    </row>
    <row r="16" ht="65" customHeight="1" s="1">
      <c r="A16" s="125" t="inlineStr">
        <is>
          <t>新建A+</t>
        </is>
      </c>
      <c r="B16" s="129">
        <f>'任务评分'!C11</f>
        <v/>
      </c>
      <c r="C16" s="129">
        <f>B16</f>
        <v/>
      </c>
      <c r="D16" s="125" t="inlineStr">
        <is>
          <t>同一份适用于整个系列的独立内容，含首次绑定。</t>
        </is>
      </c>
    </row>
    <row r="17" ht="65" customHeight="1" s="1">
      <c r="A17" s="125" t="inlineStr">
        <is>
          <t>视频上传</t>
        </is>
      </c>
      <c r="B17" s="129">
        <f>'任务评分'!C12</f>
        <v/>
      </c>
      <c r="C17" s="129">
        <f>B17</f>
        <v/>
      </c>
      <c r="D17" s="125" t="inlineStr">
        <is>
          <t>共用一个视频，含首次关联。</t>
        </is>
      </c>
    </row>
    <row r="18" ht="65" customHeight="1" s="1">
      <c r="A18" s="125" t="inlineStr">
        <is>
          <t>Listing创建</t>
        </is>
      </c>
      <c r="B18" s="129">
        <f>'任务评分'!C8</f>
        <v/>
      </c>
      <c r="C18" s="129">
        <f>$B$5</f>
        <v/>
      </c>
      <c r="D18" s="125" t="inlineStr">
        <is>
          <t>1个SKU25元；10个SKU共用一张表40元，不按SKU累乘。</t>
        </is>
      </c>
    </row>
    <row r="19" ht="65" customHeight="1" s="1">
      <c r="A19" s="125" t="inlineStr">
        <is>
          <t>图片上传</t>
        </is>
      </c>
      <c r="B19" s="129">
        <f>'任务评分'!C9</f>
        <v/>
      </c>
      <c r="C19" s="129">
        <f>'任务评分'!C9*10</f>
        <v/>
      </c>
      <c r="D19" s="125" t="inlineStr">
        <is>
          <t>各SKU有自己的可用图片，按每个SKU10元。</t>
        </is>
      </c>
    </row>
    <row r="20" ht="65" customHeight="1" s="1">
      <c r="A20" s="128" t="inlineStr">
        <is>
          <t>上述工作合计</t>
        </is>
      </c>
      <c r="B20" s="130">
        <f>SUM(B7:B19)</f>
        <v/>
      </c>
      <c r="C20" s="130">
        <f>SUM(C7:C19)</f>
        <v/>
      </c>
      <c r="D20" s="128" t="inlineStr">
        <is>
          <t>不含额外资料核实、广告、跨站点上架、成果奖励及平台/采购费用。</t>
        </is>
      </c>
    </row>
    <row r="21" ht="65" customHeight="1" s="1">
      <c r="A21" s="125" t="inlineStr">
        <is>
          <t>如确有额外独立资料核实</t>
        </is>
      </c>
      <c r="B21" s="129">
        <f>'任务评分'!C54</f>
        <v/>
      </c>
      <c r="C21" s="129">
        <f>'任务评分'!C54</f>
        <v/>
      </c>
      <c r="D21" s="125" t="inlineStr">
        <is>
          <t>仅在前述阶段未交付且确需额外核实、补全并验收时另加；同系列共用一套只加一次。</t>
        </is>
      </c>
    </row>
    <row r="22" ht="65" customHeight="1" s="1">
      <c r="A22" s="125" t="inlineStr">
        <is>
          <t>如上架时组成同一个变体，增加金额</t>
        </is>
      </c>
      <c r="B22" s="129">
        <f>ROUND(B18*0.3,2)</f>
        <v/>
      </c>
      <c r="C22" s="129">
        <f>ROUND(C18*0.3,2)</f>
        <v/>
      </c>
      <c r="D22" s="125" t="inlineStr">
        <is>
          <t>系数由1变1.3，仅对上架执行组基础金额增加30%；不再叠加变体维护。</t>
        </is>
      </c>
    </row>
    <row r="23" ht="65" customHeight="1" s="1">
      <c r="A23" s="125" t="inlineStr">
        <is>
          <t>组成同一个变体后的合计</t>
        </is>
      </c>
      <c r="B23" s="129">
        <f>B20+B22</f>
        <v/>
      </c>
      <c r="C23" s="129">
        <f>C20+C22</f>
        <v/>
      </c>
      <c r="D23" s="125" t="inlineStr">
        <is>
          <t>基于第20行，仅增加上架变体差额，不含可选的资料核实。</t>
        </is>
      </c>
    </row>
    <row r="24" ht="65" customHeight="1" s="1">
      <c r="A24" s="125" t="n"/>
      <c r="B24" s="125" t="n"/>
      <c r="C24" s="125" t="n"/>
      <c r="D24" s="125" t="n"/>
    </row>
    <row r="25" ht="65" customHeight="1" s="1">
      <c r="A25" s="128" t="inlineStr">
        <is>
          <t>实际结算与防重复规则</t>
        </is>
      </c>
    </row>
    <row r="26" ht="105" customHeight="1" s="1">
      <c r="A26" s="125" t="inlineStr">
        <is>
          <t>系列共用工作如何验收</t>
        </is>
      </c>
      <c r="B26" s="125" t="inlineStr">
        <is>
          <t>调研须覆盖本批参数需求；找厂须覆盖各规格报价、MOQ及供货条件；验证按事先确认方案执行；资料及内容须覆盖各规格差异。共用不代表漏做各规格必需检查。</t>
        </is>
      </c>
    </row>
    <row r="27" ht="105" customHeight="1" s="1">
      <c r="A27" s="125" t="inlineStr">
        <is>
          <t>仅增加参数款</t>
        </is>
      </c>
      <c r="B27" s="125" t="inlineStr">
        <is>
          <t>首次约定范围内增加参数映射、报价补充、原测试及内容修订包含在原阶段中，不重收整套开发费。原项目结案后新增参数款，先判断本次独立交付；无需重新调研、找厂、策划的阶段不再付费，只支付本次确实新增且验收的上架、图片上传或独立验证等任务。</t>
        </is>
      </c>
    </row>
    <row r="28" ht="105" customHeight="1" s="1">
      <c r="A28" s="125" t="inlineStr">
        <is>
          <t>确有独立开发工作</t>
        </is>
      </c>
      <c r="B28" s="125" t="inlineStr">
        <is>
          <t>例如新电压需不同电控方案、不同功能需新卖点、尺寸变化需独立性能测试，可为受影响阶段建立独立任务并按原标准计酬。须事先记录区别、范围及验收要求；不能因此把未重做的调研、找厂、文案等全部再算一遍。</t>
        </is>
      </c>
    </row>
    <row r="29" ht="105" customHeight="1" s="1">
      <c r="A29" s="125" t="inlineStr">
        <is>
          <t>内容与素材按实际独立份数</t>
        </is>
      </c>
      <c r="B29" s="125" t="inlineStr">
        <is>
          <t>10份图片文件并不等于10套图片策划；只改参数文字、替换同布局实物图不自动增加策划费。A+、主辅图方案、字幕及文案按独立原创交付计数；确需不同结构或卖点方案，提供独立方案及确认记录。图片上传仍按实际SKU，实际修图/拍摄不在本例员工任务范围。</t>
        </is>
      </c>
    </row>
    <row r="30" ht="105" customHeight="1" s="1">
      <c r="A30" s="125" t="inlineStr">
        <is>
          <t>不能共享时如何计算</t>
        </is>
      </c>
      <c r="B30" s="125" t="inlineStr">
        <is>
          <t>按实际交付数量替换本例数量，不直接用475乘SKU。不同上架模板分组计费，不同站点分别计上架；共用开发资料不因站点增加再领开发费。独立A+、视频及图片方案分别按各项目标准验收。</t>
        </is>
      </c>
    </row>
    <row r="31" ht="105" customHeight="1" s="1">
      <c r="A31" s="125" t="inlineStr">
        <is>
          <t>台账与分配</t>
        </is>
      </c>
      <c r="B31" s="125" t="inlineStr">
        <is>
          <t>记录系列项目编号、SKU参数清单、阶段任务编号、共用/独立范围、交付ID、参与人和验收日期。OA按SKU拆单时关联同一阶段交付ID；多人协作共享该交付的总报酬，不每人领取一份。跨月结算及后续新增款沿用系列ID，避免重新认领旧交付。</t>
        </is>
      </c>
    </row>
    <row r="32" ht="105" customHeight="1" s="1">
      <c r="A32" s="125" t="inlineStr">
        <is>
          <t>主动倍率与责任纠错</t>
        </is>
      </c>
      <c r="B32" s="125" t="inlineStr">
        <is>
          <t>本页比较均按指派任务倍率1，不表示新增统一的系列主动倍率。员工主动提出系列也不能把每个SKU都乘出一份开发金额；先按本页确定真实独立交付金额，再按已确认适用倍率计。原任务错误补交、返工不另计酬。</t>
        </is>
      </c>
    </row>
  </sheetData>
  <mergeCells count="13">
    <mergeCell ref="A1:D1"/>
    <mergeCell ref="B28:D28"/>
    <mergeCell ref="B3:D3"/>
    <mergeCell ref="B31:D31"/>
    <mergeCell ref="B32:D32"/>
    <mergeCell ref="C5:D5"/>
    <mergeCell ref="B4:D4"/>
    <mergeCell ref="B26:D26"/>
    <mergeCell ref="B27:D27"/>
    <mergeCell ref="A25:D25"/>
    <mergeCell ref="B30:D30"/>
    <mergeCell ref="B29:D29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2026-09-08T07:13:30Z</dcterms:created>
  <dcterms:modified xsi:type="dcterms:W3CDTF">2026-09-08T07:13:30Z</dcterms:modified>
</cp:coreProperties>
</file>