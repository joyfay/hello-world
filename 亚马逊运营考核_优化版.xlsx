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2">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4"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54"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E13" s="38" t="inlineStr">
        <is>
          <t>同一份A+同一轮局部修改合计2分。
不按模块数量累加；全新制作或完全重做按10分/份。</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本行为说明项，不产生独立计分。员工自主发现价格异常并完成修正时，使用"价格调整"的基础分3分×难度系数×主动倍率1.5结算。负责人安排的改价直接按"价格调整"计任务积分。员工先提出建议、经负责人批准后执行，仍属主动；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适用于负责人安排或员工自主发起、完成有效调整并核验的工作。以Campaign为计分单位，每个Campaign每次有效调整计2分。同一次调整包含多种动作（否定词＋Bid＋商品投放）合计只算1次。每个自然周（周一至周日）每个Campaign最多计2次，不同Campaign分别计分。负责人安排和员工主动执行合并统计，多人参与不增加次数。认领变化、关联任务、填写原因并核验。员工自主发起按正常积分×主动倍率计算，同一工作不重复计分。</t>
        </is>
      </c>
      <c r="E25" s="38" t="inlineStr">
        <is>
          <t>每个Campaign每次有效调整：2分。
每个自然周（周一至周日）每个Campaign最多计2次。
不同Campaign分别计分。</t>
        </is>
      </c>
      <c r="F25" s="38" t="inlineStr">
        <is>
          <t>负责人要求、任务编号、调整对象及涉及Campaign数量、Ads Change认领记录、原因及核验结果。</t>
        </is>
      </c>
      <c r="G25" s="38" t="inlineStr">
        <is>
          <t>具体调整完成并核验；以Campaign为单位按周统计。第二次计分须有第一次调整后的复查依据或新问题依据。自主发起按正常积分×主动倍率计算。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协调取得可用资料，核对SKU对应关系，完成提交并跟进审核结果；已包含资料提交，不另加分。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需协调获取资料、核对并完成一批提交，计2分。</t>
        </is>
      </c>
      <c r="F39" s="38" t="inlineStr">
        <is>
          <t>SKU、原因、处理方式及相应订单／Case／资料记录</t>
        </is>
      </c>
      <c r="G39" s="38" t="inlineStr">
        <is>
          <t>协调取得可用资料，核对SKU对应关系，完成提交并跟进审核结果；已包含资料提交，不另加分。</t>
        </is>
      </c>
    </row>
    <row r="40" ht="69.40000000000001" customHeight="1" s="39">
      <c r="A40" s="37" t="inlineStr">
        <is>
          <t>数据与报表</t>
        </is>
      </c>
      <c r="B40" s="7" t="inlineStr">
        <is>
          <t>Category Report下载</t>
        </is>
      </c>
      <c r="C40" s="7" t="inlineStr">
        <is>
          <t>按要求每天下载、归档并核验，每周合并结算。</t>
        </is>
      </c>
      <c r="D40" s="38" t="inlineStr">
        <is>
          <t>固定例行工作，主动倍率×1。按天核验，按周结算。因假期、系统故障等不可控原因未下载的天数不计入应完成天数。同一天多次下载合并计分。</t>
        </is>
      </c>
      <c r="E40" s="38" t="inlineStr">
        <is>
          <t>积分＝1×合格完成天数÷当周应完成天数。
当周无任务则不计分。</t>
        </is>
      </c>
      <c r="F40" s="38" t="inlineStr">
        <is>
          <t>每天下载文件、归档记录及核验结果。</t>
        </is>
      </c>
      <c r="G40" s="38" t="inlineStr">
        <is>
          <t>每天按时下载、归档并核验；按周统计合格完成天数，计算当周积分。</t>
        </is>
      </c>
    </row>
    <row r="41" ht="69.40000000000001" customHeight="1" s="39">
      <c r="A41" s="37" t="inlineStr">
        <is>
          <t>数据与报表</t>
        </is>
      </c>
      <c r="B41" s="7" t="inlineStr">
        <is>
          <t>关键词市场占有率统计及竞品检查</t>
        </is>
      </c>
      <c r="C41" s="7" t="inlineStr">
        <is>
          <t>按要求完成关键词的市场占有率数据统计及竞品检查。</t>
        </is>
      </c>
      <c r="D41" s="38" t="inlineStr">
        <is>
          <t>每个关键词每月结算一次。同一关键词同一月份不重复计分。数据采集、统计、竞品检查及结果记录包含在分值内。</t>
        </is>
      </c>
      <c r="E41" s="38" t="inlineStr">
        <is>
          <t>每个关键词每月：2分。
不按数据条数分档。</t>
        </is>
      </c>
      <c r="F41" s="38" t="inlineStr">
        <is>
          <t>关键词、数据期间、统计结果及竞品检查记录。</t>
        </is>
      </c>
      <c r="G41" s="38" t="inlineStr">
        <is>
          <t>完成指定关键词的市场占有率统计及竞品检查，结果记录完整并核验。</t>
        </is>
      </c>
    </row>
    <row r="42" ht="69.40000000000001" customHeight="1" s="39">
      <c r="A42" s="37" t="inlineStr">
        <is>
          <t>跨站点执行</t>
        </is>
      </c>
      <c r="B42" s="7" t="inlineStr">
        <is>
          <t>跨站点Listing创建</t>
        </is>
      </c>
      <c r="C42" s="7" t="inlineStr">
        <is>
          <t>将已有站点的商品信息翻译后在新站点创建Listing，完成SKU、价格、库存和配送方式设置。</t>
        </is>
      </c>
      <c r="D42" s="38" t="inlineStr">
        <is>
          <t>按目标站点计分，每个目标站点视为一个独立上架执行组。执行标准与US站Listing创建一致（含基础分和难度系数）。不同站点分别计分；同一目标站点的同一次上架，只选一个上架项目计分。</t>
        </is>
      </c>
      <c r="E42" s="38" t="inlineStr">
        <is>
          <t>按目标站点分别计算上架执行组，与US站相同规则：
1个SKU：5分；2个及以上可共用上架表：8分。
各站点独立计分，再乘难度系数。</t>
        </is>
      </c>
      <c r="F42" s="38" t="inlineStr">
        <is>
          <t>上架清单、翻译记录、上传文件、父子关系及核验结果。</t>
        </is>
      </c>
      <c r="G42" s="38" t="inlineStr">
        <is>
          <t>按US站Listing创建标准验收。目标站点Listing创建结果核验完成。不同站点分别计分。</t>
        </is>
      </c>
    </row>
    <row r="43" ht="69.40000000000001" customHeight="1" s="39">
      <c r="A43" s="37" t="inlineStr">
        <is>
          <t>跨站点执行</t>
        </is>
      </c>
      <c r="B43" s="7" t="inlineStr">
        <is>
          <t>A+翻译后发布（非新策划）</t>
        </is>
      </c>
      <c r="C43" s="7" t="inlineStr">
        <is>
          <t>将已有A+内容翻译为目标站点语言，提交发布并核验。</t>
        </is>
      </c>
      <c r="D43" s="38" t="inlineStr">
        <is>
          <t>与全新制作A+（10分/份）区分：本项为已有A+的翻译发布。同一次安排、同一份原A+内容为一批，不按站点数量或SKU数量累加。不同原A+内容分别计分。同一批翻译发布拆文件、重复提交不增加批次。</t>
        </is>
      </c>
      <c r="E43" s="38" t="inlineStr">
        <is>
          <t>每批翻译后发布：2分。
同一次安排、同一份原A+内容为一批；
不同原A+内容分别计分。</t>
        </is>
      </c>
      <c r="F43" s="38" t="inlineStr">
        <is>
          <t>原A+内容编号、翻译记录、提交结果及核验记录。</t>
        </is>
      </c>
      <c r="G43" s="38" t="inlineStr">
        <is>
          <t>翻译后A+已发布并核验。同一批翻译不重复计分。</t>
        </is>
      </c>
    </row>
    <row r="44" ht="14.6" customHeight="1" s="39">
      <c r="A44" s="37" t="inlineStr">
        <is>
          <t>跨站点执行</t>
        </is>
      </c>
      <c r="B44" s="7" t="inlineStr">
        <is>
          <t>翻译后批量更新Listing文案</t>
        </is>
      </c>
      <c r="C44" s="7" t="inlineStr">
        <is>
          <t>已提供文案，翻译后批量更新标题、五点、描述等。</t>
        </is>
      </c>
      <c r="D44" s="38" t="inlineStr">
        <is>
          <t>与独立重写区分：本项为已有文案的翻译更新。同一批翻译更新拆文件、重复上传不增加批次。</t>
        </is>
      </c>
      <c r="E44" s="38" t="inlineStr">
        <is>
          <t>每批翻译更新：2分。
按同一次安排的一批任务计分。</t>
        </is>
      </c>
      <c r="F44" s="38" t="inlineStr">
        <is>
          <t>文案来源、翻译记录、上传结果及核验记录。</t>
        </is>
      </c>
      <c r="G44" s="38" t="inlineStr">
        <is>
          <t>翻译文案已更新并核验。同一批不重复计分。</t>
        </is>
      </c>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同一份A+本轮增加两项参数、删除过时信息、调整模块：合计2分。
无论修改几个模块，同一份同一轮合计2分。
全新制作或完全重做：按10分/份。</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主动价格优化（说明项，不独立计分）</t>
        </is>
      </c>
      <c r="C24" s="40" t="n">
        <v>0</v>
      </c>
      <c r="D24" s="40" t="n">
        <v>1</v>
      </c>
      <c r="E24" s="7" t="inlineStr">
        <is>
          <t>本行不独立计分。
员工自主发现价格异常并修正，使用"价格调整"基础分3分×主动倍率1.5＝4.5分。</t>
        </is>
      </c>
      <c r="F24" s="7" t="inlineStr">
        <is>
          <t>不适用：本项不独立计任务分
难度按关联主任务的等级选择</t>
        </is>
      </c>
      <c r="G24" s="41">
        <f>ROUND(C24*D24,1)</f>
        <v/>
      </c>
      <c r="H24" s="7" t="inlineStr">
        <is>
          <t>本行为说明项，不产生独立任务积分。员工自主发现价格异常并完成修正时，使用"价格调整"的基础分3分×难度系数×主动倍率1.5结算，不另设独立计分项目。员工先提出建议、经负责人批准后执行，仍属主动。补建任务或认领变化不改变来源。</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2" t="inlineStr">
        <is>
          <t>调整3个Campaign各1次有效调整：6分。
调整15个Campaign各1次有效调整：30分。
调整30个Campaign各1次有效调整：60分。
1个Campaign本周已调整2次：不再计分。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协调取得可用资料，核对SKU对应关系，完成提交并跟进审核结果；已包含资料提交，不另加分。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协调取得资料并提交：合计2分。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按要求每天下载、归档并核验，每周合并结算。
积分＝1×合格完成天数÷当周应完成天数。
当周无任务则不计分。</t>
        </is>
      </c>
      <c r="F50" s="60" t="inlineStr">
        <is>
          <t>固定1.0；按每天完成，每周结算。</t>
        </is>
      </c>
      <c r="G50" s="41">
        <f>ROUND(C50*D50,1)</f>
        <v/>
      </c>
      <c r="H50" s="60" t="inlineStr">
        <is>
          <t>固定例行工作，主动倍率×1。每天按要求下载、归档并核验Category Report。每周合并结算：积分＝1×合格完成天数÷当周应完成天数。因假期、系统故障等不可控原因未下载的天数不计入应完成天数。当周无任务则不计分。同一天多次下载合并计分。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2分、五点3分、描述3分等）。同一批翻译更新拆文件、重复上传不增加批次。主动倍率按"固定例行工作"×1。</t>
        </is>
      </c>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Report下载、关键词市场占有率统计及竞品检查、A+翻译后发布、翻译后批量更新Listing文案</t>
        </is>
      </c>
      <c r="C72" s="64" t="n"/>
      <c r="D72" s="58" t="inlineStr">
        <is>
          <t>×1</t>
        </is>
      </c>
      <c r="E72" s="56" t="inlineStr">
        <is>
          <t>固定周期或已有内容的翻译发布任务，不享受主动倍率。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独立的案例分值（原2/4/6分档）和月度20分上限。新规则：主动任务积分＝正常任务积分×主动倍率（见"任务评分"主动执行倍率规则）。下方评价框架仅用于认定主动行为是否成立及行为层次，不再产生独立分值。</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下表定义行为层次，仅用于判断主动行为是否成立及深度（发现→解决→持续改善），不产生独立分值。认定成立后，按对应工作项目的正常任务积分×主动倍率结算。</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行为层次</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inlineStr">
        <is>
          <t>第一层</t>
        </is>
      </c>
      <c r="D8" s="25" t="inlineStr">
        <is>
          <t>问题对象、发现时间、事实或数据依据、建议措施、确认及采纳记录。</t>
        </is>
      </c>
      <c r="E8" s="25" t="inlineStr">
        <is>
          <t>尚未实施也可认定本层；只指出问题、无可执行建议，或未获确认采纳的，暂不认定。认定为"有效发现"只确认主动来源，不代表可以结算；完成对应工作及必要核验后，才按倍率计分。</t>
        </is>
      </c>
    </row>
    <row r="9" ht="78" customHeight="1" s="39">
      <c r="A9" s="25" t="inlineStr">
        <is>
          <t>推动解决</t>
        </is>
      </c>
      <c r="B9" s="25" t="inlineStr">
        <is>
          <t>在有效发现基础上，完成职责范围内的处理、协调及结果核验。</t>
        </is>
      </c>
      <c r="C9" s="43" t="inlineStr">
        <is>
          <t>第二层</t>
        </is>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inlineStr">
        <is>
          <t>第三层</t>
        </is>
      </c>
      <c r="D10" s="25" t="inlineStr">
        <is>
          <t>规则或流程版本、适用范围、落实记录、验证方法及结果。</t>
        </is>
      </c>
      <c r="E10" s="25" t="inlineStr">
        <is>
          <t>只有建议或文档、尚未实施验证的，不认定本层；同一问题的发现、解决和持续改善取最深层次，不逐层累加。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自主发现并发起的改善按正常任务积分×主动倍率结算，不再领取对应执行工作的任务积分。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按正常任务积分×主动倍率计算。对应执行及复盘不再另计任务积分；审批或补建任务不改变自主发起来源。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按正常任务积分×主动倍率计算。对应执行及复盘不再另计任务积分；审批或补建任务不改变自主发起来源。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按正常任务积分×主动倍率计算。对应执行及复盘不再另计任务积分；审批或补建任务不改变自主发起来源。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按正常任务积分×主动倍率计算。对应执行及复盘不再另计任务积分；审批或补建任务不改变自主发起来源。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月度结算公式</t>
        </is>
      </c>
      <c r="B32" s="25" t="inlineStr">
        <is>
          <t>正常任务积分＝按计分单位累计的基础分×难度系数。最终任务积分＝正常任务积分×适用主动倍率。负责人安排或固定例行工作，倍率为1；每项任务只计一次。月度积分为当月已验收任务最终积分之和。</t>
        </is>
      </c>
      <c r="C32" s="28" t="inlineStr">
        <is>
          <t>见公式</t>
        </is>
      </c>
      <c r="D32" s="25" t="inlineStr">
        <is>
          <t>当月全部已验收任务的最终积分汇总。</t>
        </is>
      </c>
      <c r="E32" s="25" t="inlineStr">
        <is>
          <t>不设月度上限；总绩效上限仍按公司规定。</t>
        </is>
      </c>
    </row>
    <row r="33" ht="78" customHeight="1" s="39">
      <c r="A33" s="25" t="inlineStr">
        <is>
          <t>同一任务不重复计分</t>
        </is>
      </c>
      <c r="B33" s="25" t="inlineStr">
        <is>
          <t>同一问题、同一目标视为一个案例，不按动作、字段、消息或提交次数拆分。</t>
        </is>
      </c>
      <c r="C33" s="27" t="inlineStr">
        <is>
          <t>不重复</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跨月任务</t>
        </is>
      </c>
      <c r="B34" s="25" t="inlineStr">
        <is>
          <t>跨月任务在验收完成的月份计入当月积分。</t>
        </is>
      </c>
      <c r="C34" s="27" t="inlineStr">
        <is>
          <t>按验收月</t>
        </is>
      </c>
      <c r="D34" s="25" t="inlineStr">
        <is>
          <t>验收日期、结算月及任务编号。</t>
        </is>
      </c>
      <c r="E34" s="25" t="inlineStr">
        <is>
          <t>未验收任务不计入当月；待验收任务于通过验收月份计分。</t>
        </is>
      </c>
    </row>
    <row r="35" ht="78" customHeight="1" s="39">
      <c r="A35" s="25" t="inlineStr">
        <is>
          <t>多人合作</t>
        </is>
      </c>
      <c r="B35" s="25" t="inlineStr">
        <is>
          <t>按实际发现、分析、执行、协调及验证贡献，在该任务最终积分内分配个人份额。</t>
        </is>
      </c>
      <c r="C35" s="27" t="inlineStr">
        <is>
          <t>总分不增</t>
        </is>
      </c>
      <c r="D35" s="25" t="inlineStr">
        <is>
          <t>各人贡献、个人分配分值及负责人确认记录。</t>
        </is>
      </c>
      <c r="E35" s="25" t="inlineStr">
        <is>
          <t>参与者分数之和不得超过该任务最终积分；后续追加人员只分配新增工作量对应的份额，保留原已认定贡献。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2</v>
      </c>
      <c r="D84" s="2" t="n">
        <v>1</v>
      </c>
      <c r="E84" s="2">
        <f>ROUND(C84*D84,1)</f>
        <v/>
      </c>
      <c r="F84" s="2" t="inlineStr">
        <is>
          <t>同一份同一轮合计2分</t>
        </is>
      </c>
      <c r="G84" s="2" t="inlineStr">
        <is>
          <t>不按模块数量累加</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同模块多处修改计入本轮2分</t>
        </is>
      </c>
      <c r="G100" s="0" t="inlineStr">
        <is>
          <t>同一份同一轮合计2分，不按模块数量累加</t>
        </is>
      </c>
      <c r="H100" s="0" t="inlineStr"/>
    </row>
    <row r="101" ht="105" customHeight="1" s="39">
      <c r="A101" s="0" t="inlineStr">
        <is>
          <t>A+内容增删修改</t>
        </is>
      </c>
      <c r="B101" s="0" t="inlineStr">
        <is>
          <t>一个模块增加信息，另一个模块删除信息</t>
        </is>
      </c>
      <c r="C101" s="0" t="n">
        <v>2</v>
      </c>
      <c r="D101" s="0" t="n">
        <v>1</v>
      </c>
      <c r="E101" s="0">
        <f>ROUND(C101*D101,1)</f>
        <v/>
      </c>
      <c r="F101" s="0" t="inlineStr">
        <is>
          <t>同一份同一轮合计2分</t>
        </is>
      </c>
      <c r="G101" s="0" t="inlineStr">
        <is>
          <t>不按模块数量累加</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可关联多条Ads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复制已有Campaign结构不适用×2</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协调获取资料：2分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合计2分</t>
        </is>
      </c>
      <c r="D205" s="49" t="inlineStr">
        <is>
          <t>6×2分＝12分</t>
        </is>
      </c>
      <c r="E205" s="49" t="inlineStr">
        <is>
          <t>同份同轮合计2分，不按模块数量累加</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按正常任务积分×主动倍率结算（见"任务评分"主动执行倍率规则），不再使用主动改善等级分值。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按正常任务积分×主动倍率结算，不再叠加任务积分。员工先提出建议、经负责人批准后执行，仍属主动改善；补建任务或认领变化不改变来源。
正常任务积分＝按计分单位累计的基础分×难度系数。最终任务积分＝正常任务积分×适用主动倍率。负责人安排或固定例行工作，倍率为1；每项任务只计一次。月度积分为当月已验收任务最终积分之和。</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2026-09-08T01:50:53Z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