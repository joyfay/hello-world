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3">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0">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E13" s="38" t="inlineStr">
        <is>
          <t>每个实际修改的模块：2分。
新增或删除整个模块也按2分/模块计。
同一份A+同一轮累计最高10分。</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仅用于负责人已明确具体要求的执行工作。同一次安排、同一调整目的合计基础分，多个明细关联同一任务不逐行叠加；独立目的的任务分别计分。不按对象、Campaign或Ads Change数量加分。认领变化、关联任务、填写原因并核验。员工自主发起改善仅计主动分，同一工作不重复计分。</t>
        </is>
      </c>
      <c r="E25" s="38" t="inlineStr">
        <is>
          <t>小批量（≤5个Campaign）：2分。
中批量（6—20个Campaign）：3分。
大批量（21个及以上Campaign）：4分。
按同次安排、同一调整目的计。</t>
        </is>
      </c>
      <c r="F25" s="38" t="inlineStr">
        <is>
          <t>负责人要求、任务编号、调整对象及涉及Campaign数量、Ads Change认领记录、原因及核验结果。</t>
        </is>
      </c>
      <c r="G25" s="38" t="inlineStr">
        <is>
          <t>具体调整完成并核验；同一任务仅结算一次。按实际涉及Campaign数量选择分档。自行分析的安排任务按Campaign优化计分，自主发起只计主动分。</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协调取得可用资料，核对SKU对应关系，完成提交并跟进审核结果；已包含资料提交，不再加计2分。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需协调获取资料、核对并完成一批提交，计3分。</t>
        </is>
      </c>
      <c r="F39" s="38" t="inlineStr">
        <is>
          <t>SKU、原因、处理方式及相应订单／Case／资料记录</t>
        </is>
      </c>
      <c r="G39" s="38" t="inlineStr">
        <is>
          <t>协调取得可用资料，核对SKU对应关系，完成提交并跟进审核结果；已包含资料提交，不再加计2分。</t>
        </is>
      </c>
    </row>
    <row r="40" ht="69.40000000000001" customHeight="1" s="39">
      <c r="A40" s="37" t="n"/>
      <c r="B40" s="7" t="n"/>
      <c r="C40" s="7" t="n"/>
      <c r="D40" s="38" t="n"/>
      <c r="E40" s="38" t="n"/>
      <c r="F40" s="38" t="n"/>
      <c r="G40" s="38" t="n"/>
    </row>
    <row r="41" ht="69.40000000000001" customHeight="1" s="39">
      <c r="A41" s="37" t="n"/>
      <c r="B41" s="7" t="n"/>
      <c r="C41" s="7" t="n"/>
      <c r="D41" s="38" t="n"/>
      <c r="E41" s="38" t="n"/>
      <c r="F41" s="38" t="n"/>
      <c r="G41" s="38" t="n"/>
    </row>
    <row r="42" ht="69.40000000000001" customHeight="1" s="39">
      <c r="A42" s="37" t="n"/>
      <c r="B42" s="7" t="n"/>
      <c r="C42" s="7" t="n"/>
      <c r="D42" s="38" t="n"/>
      <c r="E42" s="38" t="n"/>
      <c r="F42" s="38" t="n"/>
      <c r="G42" s="38" t="n"/>
    </row>
    <row r="43" ht="69.40000000000001" customHeight="1" s="39">
      <c r="A43" s="37" t="n"/>
      <c r="B43" s="7" t="n"/>
      <c r="C43" s="7" t="n"/>
      <c r="D43" s="38" t="n"/>
      <c r="E43" s="38" t="n"/>
      <c r="F43" s="38" t="n"/>
      <c r="G43" s="38" t="n"/>
    </row>
    <row r="44" ht="14.6" customHeight="1" s="39">
      <c r="A44" s="37" t="n"/>
      <c r="B44" s="7" t="n"/>
      <c r="C44" s="7" t="n"/>
      <c r="D44" s="38" t="n"/>
      <c r="E44" s="38" t="n"/>
      <c r="F44" s="38" t="n"/>
      <c r="G44" s="38" t="n"/>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计分来源互斥：负责人安排计任务积分（折算最高80分）；员工自主发起改善计主动分（2/4/6分档，月度最高20分）。同一工作不同时计入两部分，主动提出后获批或补建任务仍属主动改善。</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默认单位积分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每个实际修改的模块：2分。
新增或删除整个模块也按2分/模块计。
同一份A+同一轮累计最高10分。</t>
        </is>
      </c>
      <c r="F19" s="7" t="inlineStr">
        <is>
          <t>固定1.0；按计分单位累计，不另加难度系数。</t>
        </is>
      </c>
      <c r="G19" s="41">
        <f>ROUND(C19*D19,1)</f>
        <v/>
      </c>
      <c r="H19" s="7"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同一模块增加两项参数：2分。
另一模块删除过时信息：再计2分，共4分。
同份同轮修改6个模块：封顶10分。</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t>
        </is>
      </c>
      <c r="C24" s="40" t="n">
        <v>0</v>
      </c>
      <c r="D24" s="40" t="n">
        <v>1</v>
      </c>
      <c r="E24" s="7" t="inlineStr">
        <is>
          <t>主动改善关联入口：任务积分0分。
仅按主动改善2/4/6分档认定，同案取最高档。</t>
        </is>
      </c>
      <c r="F24" s="7" t="inlineStr">
        <is>
          <t>不适用：本项不独立计任务分
难度按关联主任务的等级选择</t>
        </is>
      </c>
      <c r="G24" s="41">
        <f>ROUND(C24*D24,1)</f>
        <v/>
      </c>
      <c r="H24" s="7"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本行0分表示不计任务积分，不表示主动改善没有得分。</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第二次计分须有第一次调整后的复查依据或新问题依据，并实际完成新的调整；拆分操作、重复提交、修复本人错误不另算。每次关联Ads Change，记录原因并完成核验。主动倍率×1。</t>
        </is>
      </c>
      <c r="I31" s="2" t="inlineStr">
        <is>
          <t>同次安排调整3个Campaign的Bid：2分。
同次安排调整15个Campaign的否定词：3分。
同次安排调整30个Campaign的关键词：4分。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4" s="2" t="inlineStr">
        <is>
          <t>已有完整资料完成一批提交：2分。</t>
        </is>
      </c>
    </row>
    <row r="45" ht="83.25" customHeight="1" s="39">
      <c r="A45" s="7" t="inlineStr">
        <is>
          <t>库存管理</t>
        </is>
      </c>
      <c r="B45" s="7" t="inlineStr">
        <is>
          <t>滞留库存—电池／化学品资料协调与提交</t>
        </is>
      </c>
      <c r="C45" s="42" t="n">
        <v>3</v>
      </c>
      <c r="D45" s="40" t="n">
        <v>1</v>
      </c>
      <c r="E45" s="7" t="inlineStr">
        <is>
          <t>需协调获取资料、核对并完成一批提交，计3分。</t>
        </is>
      </c>
      <c r="F45" s="7" t="inlineStr">
        <is>
          <t>固定1.0。</t>
        </is>
      </c>
      <c r="G45" s="41">
        <f>ROUND(C45*D45,1)</f>
        <v/>
      </c>
      <c r="H45" s="7" t="inlineStr">
        <is>
          <t>协调取得可用资料，核对SKU对应关系，完成提交并跟进审核结果；已包含资料提交，不再加计2分。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5" s="2" t="inlineStr">
        <is>
          <t>协调取得资料并提交：合计3分。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7" t="n"/>
      <c r="B50" s="7" t="n"/>
      <c r="C50" s="40" t="n"/>
      <c r="D50" s="40" t="n"/>
      <c r="E50" s="7" t="n"/>
      <c r="F50" s="7" t="n"/>
      <c r="G50" s="41">
        <f>ROUND(C50*D50,1)</f>
        <v/>
      </c>
      <c r="H50" s="7" t="n"/>
      <c r="I50" s="2" t="n"/>
    </row>
    <row r="51" ht="14.6" customHeight="1" s="39">
      <c r="A51" s="7" t="n"/>
      <c r="B51" s="7" t="n"/>
      <c r="C51" s="40" t="n"/>
      <c r="D51" s="40" t="n"/>
      <c r="E51" s="7" t="n"/>
      <c r="F51" s="7" t="n"/>
      <c r="G51" s="41">
        <f>ROUND(C51*D51,1)</f>
        <v/>
      </c>
      <c r="H51" s="7" t="n"/>
      <c r="I51" s="2" t="n"/>
    </row>
    <row r="52" ht="14.6" customHeight="1" s="39">
      <c r="A52" s="7" t="n"/>
      <c r="B52" s="7" t="n"/>
      <c r="C52" s="40" t="n"/>
      <c r="D52" s="40" t="n"/>
      <c r="E52" s="7" t="n"/>
      <c r="F52" s="7" t="n"/>
      <c r="G52" s="41">
        <f>ROUND(C52*D52,1)</f>
        <v/>
      </c>
      <c r="H52" s="7" t="n"/>
      <c r="I52" s="2" t="n"/>
    </row>
    <row r="53" ht="14.6" customHeight="1" s="39">
      <c r="A53" s="7" t="n"/>
      <c r="B53" s="7" t="n"/>
      <c r="C53" s="40" t="n"/>
      <c r="D53" s="40" t="n"/>
      <c r="E53" s="7" t="n"/>
      <c r="F53" s="7" t="n"/>
      <c r="G53" s="41">
        <f>ROUND(C53*D53,1)</f>
        <v/>
      </c>
      <c r="H53" s="7" t="n"/>
      <c r="I53" s="2" t="n"/>
    </row>
    <row r="54" ht="14.6" customHeight="1" s="39">
      <c r="A54" s="7" t="n"/>
      <c r="B54" s="7" t="n"/>
      <c r="C54" s="40" t="n"/>
      <c r="D54" s="40" t="n"/>
      <c r="E54" s="7" t="n"/>
      <c r="F54" s="7" t="n"/>
      <c r="G54" s="41">
        <f>ROUND(C54*D54,1)</f>
        <v/>
      </c>
      <c r="H54" s="7" t="n"/>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Listing内容优化</t>
        </is>
      </c>
      <c r="B65" s="56" t="inlineStr">
        <is>
          <t>重新编写标题／五点／描述／关键词、全新制作或完全重做A+、A+内容增删修改</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SP／SB／SBV／SD广告创建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有依据并完成核验。同一次调整包含多种动作合计只算1次。每个Campaign每周最多计2次（2×2＝4分/Campaign/周）。第二次须有复查依据或新问题依据；拆分操作、重复提交、修复本人错误不另算。</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其他执行类</t>
        </is>
      </c>
      <c r="B69" s="56" t="inlineStr">
        <is>
          <t>价格调整、Coupon与Promotion创建、Deal活动提报、库存相关处理、VOC数据更新等</t>
        </is>
      </c>
      <c r="C69" s="64" t="n"/>
      <c r="D69" s="58" t="inlineStr">
        <is>
          <t>×1.5</t>
        </is>
      </c>
      <c r="E69" s="56" t="inlineStr">
        <is>
          <t>主动发现具体问题或机会，提出合理措施并完成处理；固定例行工作仍按正常积分（×1）。</t>
        </is>
      </c>
      <c r="F69" s="65" t="n"/>
      <c r="G69" s="65" t="n"/>
      <c r="H69" s="64" t="n"/>
    </row>
    <row r="70"/>
    <row r="71">
      <c r="A71" s="59" t="inlineStr">
        <is>
          <t>边界规则</t>
        </is>
      </c>
    </row>
    <row r="72">
      <c r="A72" s="52" t="inlineStr">
        <is>
          <t>① 主动发现后及时登记即可，不要求处理完才申报。提出方案后经负责人批准执行，仍算主动；隐瞒或拖延已知问题不享受倍率。</t>
        </is>
      </c>
    </row>
    <row r="73">
      <c r="A73" s="52" t="inlineStr">
        <is>
          <t>② 固定巡检、例行维护、已被安排的任务，以及修复本人错误，不享受主动倍率。</t>
        </is>
      </c>
    </row>
    <row r="74">
      <c r="A74" s="52" t="inlineStr">
        <is>
          <t>③ 同一工作只计算一次乘倍率后的积分，不再另加正常积分。未完成处理及必要核验的，先保留记录，不提前领取完整积分。</t>
        </is>
      </c>
    </row>
    <row r="75"/>
    <row r="76">
      <c r="A76" s="59" t="inlineStr">
        <is>
          <t>广告调整频次限制</t>
        </is>
      </c>
    </row>
    <row r="77">
      <c r="A77" s="52" t="inlineStr">
        <is>
          <t>每个Campaign每自然周（周一至周日）最多计2次广告调整积分，不区分调整类型。不同Campaign分别计分，可以采取不同调整措施。超出频次的调整仍须执行，但不再计分。
示例：同一周，Campaign A有效调整2次、B调整1次、C调整3次，分别计 4＋2＋4＝10积分（C的第3次不计分）。</t>
        </is>
      </c>
    </row>
    <row r="78"/>
    <row r="80"/>
    <row r="81"/>
  </sheetData>
  <mergeCells count="24">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73:H73"/>
    <mergeCell ref="A76:H76"/>
    <mergeCell ref="B65:C65"/>
    <mergeCell ref="B68:C68"/>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22" t="inlineStr">
        <is>
          <t>月度绩效＝任务完成得分（最高80分）＋主动改善得分（最高20分），总分100分；主动改善不再额外加在100分之外。</t>
        </is>
      </c>
      <c r="B3" s="22" t="n"/>
      <c r="C3" s="22" t="n"/>
      <c r="D3" s="22" t="n"/>
      <c r="E3" s="22" t="n"/>
    </row>
    <row r="4" ht="75" customHeight="1" s="39">
      <c r="A4" s="2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黄色案例分可调整；默认有效发现2分、推动解决4分、形成持续改善6分。同案只取最高档，主动分不乘任务难度系数。</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案例分</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n">
        <v>2</v>
      </c>
      <c r="D8" s="25" t="inlineStr">
        <is>
          <t>问题对象、发现时间、事实或数据依据、建议措施、确认及采纳记录。</t>
        </is>
      </c>
      <c r="E8" s="25" t="inlineStr">
        <is>
          <t>尚未实施也可认定本档；只指出问题、无可执行建议，或未获确认采纳的，暂不计分。</t>
        </is>
      </c>
    </row>
    <row r="9" ht="78" customHeight="1" s="39">
      <c r="A9" s="25" t="inlineStr">
        <is>
          <t>推动解决</t>
        </is>
      </c>
      <c r="B9" s="25" t="inlineStr">
        <is>
          <t>在有效发现基础上，完成职责范围内的处理、协调及结果核验。</t>
        </is>
      </c>
      <c r="C9" s="43" t="n">
        <v>4</v>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n">
        <v>6</v>
      </c>
      <c r="D10" s="25" t="inlineStr">
        <is>
          <t>规则或流程版本、适用范围、落实记录、验证方法及结果。</t>
        </is>
      </c>
      <c r="E10" s="25" t="inlineStr">
        <is>
          <t>只有建议或文档、尚未实施验证的，不认定本档；同一问题的发现、解决和持续改善不逐档累加。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自主发现并发起的改善只按本页等级认定，不再领取对应执行工作的任务积分。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员工先提出问题及建议，再获批准并建立任务，仍属主动改善；只计主动分，不计对应任务分。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按主动改善案例认定：有效发现2分、推动解决4分、形成持续改善6分，同案取最高档。对应执行及复盘不再计任务积分；审批或补建任务不改变自主发起来源。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按主动改善案例认定：有效发现2分、推动解决4分、形成持续改善6分，同案取最高档。对应执行及复盘不再计任务积分；审批或补建任务不改变自主发起来源。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按主动改善案例认定：有效发现2分、推动解决4分、形成持续改善6分，同案取最高档。对应执行及复盘不再计任务积分；审批或补建任务不改变自主发起来源。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按主动改善案例认定：有效发现2分、推动解决4分、形成持续改善6分，同案取最高档。对应执行及复盘不再计任务积分；审批或补建任务不改变自主发起来源。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月度上限</t>
        </is>
      </c>
      <c r="B32" s="25" t="inlineStr">
        <is>
          <t>按个人汇总当月通过认定的案例分或升级补差，主动改善得分不得超过本行上限。</t>
        </is>
      </c>
      <c r="C32" s="28" t="n">
        <v>20</v>
      </c>
      <c r="D32" s="25" t="inlineStr">
        <is>
          <t>现有页面导出的个人案例明细、核定分值及认定日期。</t>
        </is>
      </c>
      <c r="E32" s="25" t="inlineStr">
        <is>
          <t>主动改善得分＝MIN（当月案例核定分及升级补差合计，月度上限20分）；总绩效最高100分。任务完成部分须折算至最高80分，不把原始任务积分直接相加。</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升级及跨月</t>
        </is>
      </c>
      <c r="B34" s="25" t="inlineStr">
        <is>
          <t>已计分案例后续达到更高档，只计新档分值减去历次已认定分值的正差额。</t>
        </is>
      </c>
      <c r="C34" s="27" t="inlineStr">
        <is>
          <t>只补差额</t>
        </is>
      </c>
      <c r="D34" s="25" t="inlineStr">
        <is>
          <t>历史等级、历史已认定分、升级证据及本次差额。</t>
        </is>
      </c>
      <c r="E34" s="25" t="inlineStr">
        <is>
          <t>月度封顶被截去的部分不顺延补领，也不能通过升级重新领取；待验收案例于通过认定月份计分。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本页普通任务积分示例以负责人安排为前提；自主发起改善只按主动改善案例等级计分，不叠加示例任务积分。同一工作只选一条路径。</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主动改善</t>
        </is>
      </c>
      <c r="B114" s="0" t="inlineStr">
        <is>
          <t>主动解决3个独立问题＋1项持续改善</t>
        </is>
      </c>
      <c r="C114" s="0" t="n">
        <v>18</v>
      </c>
      <c r="D114" s="0" t="n">
        <v>1</v>
      </c>
      <c r="E114" s="0">
        <f>ROUND(C114*D114,1)</f>
        <v/>
      </c>
      <c r="F114" s="0" t="inlineStr">
        <is>
          <t>3×4＋6＝18分</t>
        </is>
      </c>
      <c r="G114" s="0" t="inlineStr">
        <is>
          <t>计入最高20分部分；不乘任务难度系数</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自主发起只计主动分，不叠加本例任务分</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自主发起只计主动分，不叠加本例任务分</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自主发起只计主动分，不叠加本例任务分</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自主发起只计主动分，不叠加本例任务分</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自主发起只计主动分，不叠加本例任务分</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关联一条Ads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复制已有Campaign结构不适用×2</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0" t="inlineStr">
        <is>
          <t>按发起来源选择唯一计分路径</t>
        </is>
      </c>
    </row>
    <row r="161" ht="34" customHeight="1" s="39">
      <c r="A161" s="19" t="inlineStr">
        <is>
          <t>发起来源</t>
        </is>
      </c>
      <c r="B161" s="19" t="inlineStr">
        <is>
          <t>实际工作</t>
        </is>
      </c>
      <c r="C161" s="19" t="inlineStr">
        <is>
          <t>任务积分</t>
        </is>
      </c>
      <c r="D161" s="19" t="inlineStr">
        <is>
          <t>主动改善分</t>
        </is>
      </c>
      <c r="E161" s="19" t="inlineStr">
        <is>
          <t>唯一计分路径</t>
        </is>
      </c>
      <c r="F161" s="19" t="inlineStr">
        <is>
          <t>认定条件</t>
        </is>
      </c>
      <c r="G161" s="19" t="inlineStr">
        <is>
          <t>归属说明</t>
        </is>
      </c>
      <c r="H161" s="19" t="inlineStr">
        <is>
          <t>防重复规则</t>
        </is>
      </c>
    </row>
    <row r="162" ht="105" customHeight="1" s="39">
      <c r="A162" s="2" t="n"/>
      <c r="B162" s="2" t="n"/>
      <c r="C162" s="2" t="n"/>
      <c r="D162" s="2" t="n"/>
      <c r="E162" s="2" t="n"/>
      <c r="F162" s="2" t="n"/>
      <c r="G162" s="2" t="n"/>
      <c r="H162" s="2" t="n"/>
    </row>
    <row r="163" ht="105" customHeight="1" s="39">
      <c r="A163" s="2" t="inlineStr">
        <is>
          <t>员工自主发起</t>
        </is>
      </c>
      <c r="B163" s="2" t="inlineStr">
        <is>
          <t>自行发现无效花费，处理并核验解决</t>
        </is>
      </c>
      <c r="C163" s="2" t="n">
        <v>0</v>
      </c>
      <c r="D163" s="2" t="n">
        <v>4</v>
      </c>
      <c r="E163" s="2" t="inlineStr">
        <is>
          <t>主动改善部分</t>
        </is>
      </c>
      <c r="F163" s="2" t="inlineStr">
        <is>
          <t>符合推动解决认定</t>
        </is>
      </c>
      <c r="G163" s="2" t="inlineStr">
        <is>
          <t>同案取最高档</t>
        </is>
      </c>
      <c r="H163" s="2" t="inlineStr">
        <is>
          <t>不叠加2分任务积分</t>
        </is>
      </c>
    </row>
    <row r="164" ht="105" customHeight="1" s="39">
      <c r="A164" s="2" t="inlineStr">
        <is>
          <t>员工先建议、后获批</t>
        </is>
      </c>
      <c r="B164" s="2" t="inlineStr">
        <is>
          <t>先提出问题方案，再获批准并执行解决</t>
        </is>
      </c>
      <c r="C164" s="2" t="n">
        <v>0</v>
      </c>
      <c r="D164" s="2" t="n">
        <v>4</v>
      </c>
      <c r="E164" s="2" t="inlineStr">
        <is>
          <t>主动改善部分</t>
        </is>
      </c>
      <c r="F164" s="2" t="inlineStr">
        <is>
          <t>保留首次提议及审批记录</t>
        </is>
      </c>
      <c r="G164" s="2" t="inlineStr">
        <is>
          <t>补建任务不改变自主来源</t>
        </is>
      </c>
      <c r="H164" s="2" t="inlineStr">
        <is>
          <t>不重复领取任务分</t>
        </is>
      </c>
    </row>
    <row r="165" ht="105" customHeight="1" s="39">
      <c r="A165" s="2" t="n"/>
      <c r="B165" s="2" t="n"/>
      <c r="C165" s="2" t="n"/>
      <c r="D165" s="2" t="n"/>
      <c r="E165" s="2" t="n"/>
      <c r="F165" s="2" t="n"/>
      <c r="G165" s="2" t="n"/>
      <c r="H165" s="2" t="n"/>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示例为负责人安排；自主发起仅计主动分</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示例为负责人安排；自主发起仅计主动分</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示例为负责人安排；自主发起仅计主动分</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示例为负责人安排；自主发起仅计主动分</t>
        </is>
      </c>
    </row>
    <row r="174" ht="105" customHeight="1" s="39">
      <c r="A174" s="0" t="inlineStr">
        <is>
          <t>滞留库存处理</t>
        </is>
      </c>
      <c r="B174" s="0" t="inlineStr">
        <is>
          <t>需向负责人获取并核对资料，再提交跟进</t>
        </is>
      </c>
      <c r="C174" s="0" t="n">
        <v>3</v>
      </c>
      <c r="D174" s="0" t="n">
        <v>1</v>
      </c>
      <c r="E174" s="0">
        <f>ROUND(C174*D174,1)</f>
        <v/>
      </c>
      <c r="F174" s="0" t="inlineStr">
        <is>
          <t>协调获取资料档：3分</t>
        </is>
      </c>
      <c r="G174" s="0" t="inlineStr">
        <is>
          <t>等待时间、催办次数不增加分数</t>
        </is>
      </c>
      <c r="H174" s="0" t="inlineStr">
        <is>
          <t>示例为负责人安排；自主发起仅计主动分</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示例为负责人安排；自主发起仅计主动分</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负责人安排的任务示例；自主发起仅计主动分</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负责人安排的任务示例；自主发起仅计主动分</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负责人安排的任务示例；自主发起仅计主动分</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负责人安排的任务示例；自主发起仅计主动分</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负责人安排的任务示例；自主发起只计主动分</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负责人安排的任务示例；自主发起只计主动分</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负责人安排的任务示例；自主发起只计主动分</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负责人安排的任务示例；自主发起只计主动分</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负责人安排的任务示例；自主发起只计主动分</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负责人安排的任务示例；自主发起只计主动分</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叠加计20分</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只计主动改善分（2/4/6分档）</t>
        </is>
      </c>
      <c r="D200" s="49" t="inlineStr">
        <is>
          <t>任务分3分＋主动分4分</t>
        </is>
      </c>
      <c r="E200" s="49" t="inlineStr">
        <is>
          <t>发起来源互斥：自主发起只走主动分</t>
        </is>
      </c>
      <c r="F200" s="49" t="inlineStr">
        <is>
          <t>主动改善评价·二</t>
        </is>
      </c>
    </row>
    <row r="201">
      <c r="A201" s="49" t="n">
        <v>4</v>
      </c>
      <c r="B201" s="49" t="inlineStr">
        <is>
          <t>员工先提出建议，经负责人批准后建立任务执行</t>
        </is>
      </c>
      <c r="C201" s="49" t="inlineStr">
        <is>
          <t>只计主动改善分</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封顶10分</t>
        </is>
      </c>
      <c r="D205" s="49" t="inlineStr">
        <is>
          <t>6×2分＝12分</t>
        </is>
      </c>
      <c r="E205" s="49" t="inlineStr">
        <is>
          <t>同份同轮累计最高10分</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标题2分/个；五点2分/套（改1点或全部五点均2分）；描述2分/份；Generic Keywords 2分/套；独立全新或完全重做A+10分/份；部分A+2分/模块、每份每轮最高10分。系数均固定1.0。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负责人安排的优化先登记预计任务积分，内容发布核验且复盘形成结论后结算；自主发起改善只按主动改善等级认定。结果未增长不自动判零分，按依据、实际交付及复盘验收；同一工作不跨两条路径重复计分。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月度绩效仍为任务完成最高80分＋主动改善最高20分。</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2026-09-08T00:57:27Z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