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 name="改善成果奖励" sheetId="7" state="visible" r:id="rId7"/>
    <sheet name="系列开发计酬" sheetId="8" state="visible" r:id="rId8"/>
    <sheet name="研发考核规则" sheetId="9" state="visible" r:id="rId9"/>
  </sheets>
  <definedNames/>
</workbook>
</file>

<file path=xl/styles.xml><?xml version="1.0" encoding="utf-8"?>
<styleSheet xmlns="http://schemas.openxmlformats.org/spreadsheetml/2006/main">
  <numFmts count="3">
    <numFmt numFmtId="164" formatCode="0.0"/>
    <numFmt numFmtId="165" formatCode="#,##0.00&quot;元&quot;"/>
    <numFmt numFmtId="166" formatCode="0.0&quot;倍&quot;"/>
  </numFmts>
  <fonts count="47">
    <font>
      <name val="Carlito"/>
      <sz val="11"/>
    </font>
    <font>
      <name val="Microsoft YaHei"/>
      <b val="1"/>
      <color rgb="FFFFFFFF"/>
      <sz val="11"/>
    </font>
    <font>
      <name val="Microsoft YaHei"/>
      <sz val="10"/>
    </font>
    <font>
      <name val="Arial"/>
      <b val="1"/>
      <color rgb="FFFF0000"/>
      <sz val="11"/>
    </font>
    <font>
      <name val="Arial"/>
      <b val="1"/>
      <color rgb="FF1F4E78"/>
      <sz val="14"/>
    </font>
    <font>
      <name val="Arial"/>
      <color rgb="FF475569"/>
      <sz val="10"/>
    </font>
    <font>
      <name val="Microsoft YaHei"/>
      <b val="1"/>
      <color rgb="FFFFFFFF"/>
      <sz val="10"/>
    </font>
    <font>
      <name val="Microsoft YaHei"/>
      <color rgb="FF1F2937"/>
      <sz val="10"/>
    </font>
    <font>
      <name val="Microsoft YaHei"/>
      <b val="1"/>
      <color rgb="FF1F4E78"/>
      <sz val="10"/>
    </font>
    <font>
      <name val="Microsoft YaHei"/>
      <color rgb="FF475569"/>
      <sz val="10"/>
    </font>
    <font>
      <name val="Arial"/>
      <b val="1"/>
      <sz val="11"/>
    </font>
    <font>
      <name val="Arial"/>
      <b val="1"/>
      <sz val="10"/>
    </font>
    <font>
      <name val="Arial"/>
      <sz val="10"/>
    </font>
    <font>
      <name val="Arial"/>
      <color rgb="FF1F2937"/>
      <sz val="10"/>
    </font>
    <font>
      <name val="Arial"/>
      <b val="1"/>
      <color rgb="FFFF0000"/>
      <sz val="10"/>
    </font>
    <font>
      <name val="Arial"/>
      <b val="1"/>
      <color rgb="FF1F4E78"/>
      <sz val="11"/>
    </font>
    <font>
      <name val="Arial"/>
      <b val="1"/>
      <color rgb="FFFFFFFF"/>
      <sz val="10"/>
    </font>
    <font>
      <name val="微软雅黑"/>
      <sz val="9"/>
    </font>
    <font>
      <name val="微软雅黑"/>
      <color rgb="FF1F2937"/>
      <sz val="9"/>
    </font>
    <font>
      <name val="微软雅黑"/>
      <b val="1"/>
      <color rgb="FF1F4E78"/>
      <sz val="9"/>
    </font>
    <font>
      <name val="微软雅黑"/>
      <color rgb="FF475569"/>
      <sz val="9"/>
    </font>
    <font>
      <name val="Arial"/>
      <b val="1"/>
      <sz val="12"/>
    </font>
    <font>
      <name val="Arial"/>
      <b val="1"/>
      <sz val="14"/>
    </font>
    <font>
      <name val="Microsoft YaHei"/>
      <b val="1"/>
      <color rgb="FF1F2937"/>
      <sz val="10"/>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Microsoft YaHei"/>
      <sz val="11"/>
    </font>
    <font>
      <name val="Microsoft YaHei"/>
      <color rgb="FFFFFFFF"/>
      <sz val="11"/>
    </font>
    <font>
      <name val="Microsoft YaHei"/>
      <b val="1"/>
      <sz val="11"/>
    </font>
    <font>
      <name val="Arial"/>
      <b val="1"/>
      <color rgb="00FFFFFF"/>
      <sz val="11"/>
    </font>
  </fonts>
  <fills count="49">
    <fill>
      <patternFill/>
    </fill>
    <fill>
      <patternFill patternType="gray125"/>
    </fill>
    <fill>
      <patternFill patternType="solid">
        <fgColor rgb="FF17365D"/>
      </patternFill>
    </fill>
    <fill>
      <patternFill patternType="solid">
        <fgColor rgb="FFFFF2CC"/>
      </patternFill>
    </fill>
    <fill>
      <patternFill patternType="solid">
        <fgColor rgb="FF1F4E78"/>
      </patternFill>
    </fill>
    <fill>
      <patternFill patternType="solid">
        <fgColor rgb="FFE2EFDA"/>
      </patternFill>
    </fill>
    <fill>
      <patternFill patternType="solid">
        <fgColor rgb="FFF2F2F2"/>
      </patternFill>
    </fill>
    <fill>
      <patternFill patternType="solid">
        <fgColor rgb="FF4472C4"/>
      </patternFill>
    </fill>
    <fill>
      <patternFill patternType="solid">
        <fgColor rgb="FFD9E2F3"/>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F4E78"/>
      </patternFill>
    </fill>
    <fill>
      <patternFill patternType="solid">
        <fgColor rgb="FFFFF2CC"/>
      </patternFill>
    </fill>
    <fill>
      <patternFill patternType="solid">
        <fgColor rgb="FFFFF2CC"/>
      </patternFill>
    </fill>
    <fill>
      <patternFill patternType="solid">
        <fgColor rgb="FFFFFFFF"/>
      </patternFill>
    </fill>
    <fill>
      <patternFill patternType="solid">
        <fgColor rgb="FFE8EFF5"/>
      </patternFill>
    </fill>
    <fill>
      <patternFill patternType="solid">
        <fgColor rgb="FF1F4E78"/>
      </patternFill>
    </fill>
    <fill>
      <patternFill patternType="solid">
        <fgColor rgb="FF1F4E78"/>
      </patternFill>
    </fill>
    <fill>
      <patternFill patternType="solid">
        <fgColor rgb="FFFFF2CC"/>
      </patternFill>
    </fill>
    <fill>
      <patternFill patternType="solid">
        <fgColor rgb="FFFFF2CC"/>
        <bgColor rgb="FFFFF2CC"/>
      </patternFill>
    </fill>
    <fill>
      <patternFill patternType="solid">
        <fgColor rgb="FF1F4E78"/>
        <bgColor rgb="FF1F4E78"/>
      </patternFill>
    </fill>
  </fills>
  <borders count="21">
    <border/>
    <border>
      <left style="thin">
        <color auto="1"/>
      </left>
      <right style="thin">
        <color auto="1"/>
      </right>
      <top style="thin">
        <color auto="1"/>
      </top>
      <bottom style="thin">
        <color auto="1"/>
      </bottom>
    </border>
    <border>
      <right style="thin">
        <color auto="1"/>
      </right>
      <top style="thin">
        <color auto="1"/>
      </top>
      <bottom style="thin">
        <color auto="1"/>
      </bottom>
    </border>
    <border>
      <top style="thin">
        <color auto="1"/>
      </top>
      <bottom style="thin">
        <color auto="1"/>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top style="thin">
        <color auto="1"/>
      </top>
    </border>
    <border>
      <right style="thin">
        <color auto="1"/>
      </right>
      <top style="thin">
        <color auto="1"/>
      </top>
    </border>
    <border>
      <left style="thin"/>
      <right style="thin"/>
      <top style="thin"/>
      <bottom style="thin"/>
    </border>
    <border>
      <top style="thin"/>
    </border>
    <border>
      <right style="thin"/>
      <top style="thin"/>
    </border>
    <border>
      <right style="thin"/>
      <top style="thin"/>
      <bottom style="thin"/>
    </border>
  </borders>
  <cellStyleXfs count="50">
    <xf numFmtId="0" fontId="24" fillId="0" borderId="0" applyAlignment="1">
      <alignment vertical="center"/>
    </xf>
    <xf numFmtId="43" fontId="24" fillId="0" borderId="0" applyAlignment="1">
      <alignment vertical="center"/>
    </xf>
    <xf numFmtId="44" fontId="24" fillId="0" borderId="0" applyAlignment="1">
      <alignment vertical="center"/>
    </xf>
    <xf numFmtId="9" fontId="24" fillId="0" borderId="0" applyAlignment="1">
      <alignment vertical="center"/>
    </xf>
    <xf numFmtId="41" fontId="24" fillId="0" borderId="0" applyAlignment="1">
      <alignment vertical="center"/>
    </xf>
    <xf numFmtId="42" fontId="24" fillId="0" borderId="0" applyAlignment="1">
      <alignment vertical="center"/>
    </xf>
    <xf numFmtId="0" fontId="25" fillId="0" borderId="0" applyAlignment="1">
      <alignment vertical="center"/>
    </xf>
    <xf numFmtId="0" fontId="26" fillId="0" borderId="0" applyAlignment="1">
      <alignment vertical="center"/>
    </xf>
    <xf numFmtId="0" fontId="24" fillId="9" borderId="7" applyAlignment="1">
      <alignment vertical="center"/>
    </xf>
    <xf numFmtId="0" fontId="27" fillId="0" borderId="0" applyAlignment="1">
      <alignment vertical="center"/>
    </xf>
    <xf numFmtId="0" fontId="28" fillId="0" borderId="0" applyAlignment="1">
      <alignment vertical="center"/>
    </xf>
    <xf numFmtId="0" fontId="29" fillId="0" borderId="0" applyAlignment="1">
      <alignment vertical="center"/>
    </xf>
    <xf numFmtId="0" fontId="30" fillId="0" borderId="8" applyAlignment="1">
      <alignment vertical="center"/>
    </xf>
    <xf numFmtId="0" fontId="31" fillId="0" borderId="8" applyAlignment="1">
      <alignment vertical="center"/>
    </xf>
    <xf numFmtId="0" fontId="32" fillId="0" borderId="9" applyAlignment="1">
      <alignment vertical="center"/>
    </xf>
    <xf numFmtId="0" fontId="32" fillId="0" borderId="0" applyAlignment="1">
      <alignment vertical="center"/>
    </xf>
    <xf numFmtId="0" fontId="33" fillId="10" borderId="10" applyAlignment="1">
      <alignment vertical="center"/>
    </xf>
    <xf numFmtId="0" fontId="34" fillId="6" borderId="11" applyAlignment="1">
      <alignment vertical="center"/>
    </xf>
    <xf numFmtId="0" fontId="35" fillId="6" borderId="10" applyAlignment="1">
      <alignment vertical="center"/>
    </xf>
    <xf numFmtId="0" fontId="36" fillId="11" borderId="12" applyAlignment="1">
      <alignment vertical="center"/>
    </xf>
    <xf numFmtId="0" fontId="37" fillId="0" borderId="13" applyAlignment="1">
      <alignment vertical="center"/>
    </xf>
    <xf numFmtId="0" fontId="38" fillId="0" borderId="14" applyAlignment="1">
      <alignment vertical="center"/>
    </xf>
    <xf numFmtId="0" fontId="39" fillId="12" borderId="0" applyAlignment="1">
      <alignment vertical="center"/>
    </xf>
    <xf numFmtId="0" fontId="40" fillId="13" borderId="0" applyAlignment="1">
      <alignment vertical="center"/>
    </xf>
    <xf numFmtId="0" fontId="41" fillId="14" borderId="0" applyAlignment="1">
      <alignment vertical="center"/>
    </xf>
    <xf numFmtId="0" fontId="42" fillId="15" borderId="0" applyAlignment="1">
      <alignment vertical="center"/>
    </xf>
    <xf numFmtId="0" fontId="24" fillId="16" borderId="0" applyAlignment="1">
      <alignment vertical="center"/>
    </xf>
    <xf numFmtId="0" fontId="24" fillId="17" borderId="0" applyAlignment="1">
      <alignment vertical="center"/>
    </xf>
    <xf numFmtId="0" fontId="42" fillId="18" borderId="0" applyAlignment="1">
      <alignment vertical="center"/>
    </xf>
    <xf numFmtId="0" fontId="42" fillId="19" borderId="0" applyAlignment="1">
      <alignment vertical="center"/>
    </xf>
    <xf numFmtId="0" fontId="24" fillId="20" borderId="0" applyAlignment="1">
      <alignment vertical="center"/>
    </xf>
    <xf numFmtId="0" fontId="24" fillId="21" borderId="0" applyAlignment="1">
      <alignment vertical="center"/>
    </xf>
    <xf numFmtId="0" fontId="42" fillId="22" borderId="0" applyAlignment="1">
      <alignment vertical="center"/>
    </xf>
    <xf numFmtId="0" fontId="42" fillId="23" borderId="0" applyAlignment="1">
      <alignment vertical="center"/>
    </xf>
    <xf numFmtId="0" fontId="24" fillId="24" borderId="0" applyAlignment="1">
      <alignment vertical="center"/>
    </xf>
    <xf numFmtId="0" fontId="24" fillId="25" borderId="0" applyAlignment="1">
      <alignment vertical="center"/>
    </xf>
    <xf numFmtId="0" fontId="42" fillId="26" borderId="0" applyAlignment="1">
      <alignment vertical="center"/>
    </xf>
    <xf numFmtId="0" fontId="42" fillId="27" borderId="0" applyAlignment="1">
      <alignment vertical="center"/>
    </xf>
    <xf numFmtId="0" fontId="24" fillId="28" borderId="0" applyAlignment="1">
      <alignment vertical="center"/>
    </xf>
    <xf numFmtId="0" fontId="24" fillId="29" borderId="0" applyAlignment="1">
      <alignment vertical="center"/>
    </xf>
    <xf numFmtId="0" fontId="42" fillId="30" borderId="0" applyAlignment="1">
      <alignment vertical="center"/>
    </xf>
    <xf numFmtId="0" fontId="42" fillId="31" borderId="0" applyAlignment="1">
      <alignment vertical="center"/>
    </xf>
    <xf numFmtId="0" fontId="24" fillId="32" borderId="0" applyAlignment="1">
      <alignment vertical="center"/>
    </xf>
    <xf numFmtId="0" fontId="24" fillId="33" borderId="0" applyAlignment="1">
      <alignment vertical="center"/>
    </xf>
    <xf numFmtId="0" fontId="42" fillId="34" borderId="0" applyAlignment="1">
      <alignment vertical="center"/>
    </xf>
    <xf numFmtId="0" fontId="42" fillId="35" borderId="0" applyAlignment="1">
      <alignment vertical="center"/>
    </xf>
    <xf numFmtId="0" fontId="24" fillId="36" borderId="0" applyAlignment="1">
      <alignment vertical="center"/>
    </xf>
    <xf numFmtId="0" fontId="24" fillId="37" borderId="0" applyAlignment="1">
      <alignment vertical="center"/>
    </xf>
    <xf numFmtId="0" fontId="42" fillId="38" borderId="0" applyAlignment="1">
      <alignment vertical="center"/>
    </xf>
    <xf numFmtId="0" fontId="0" fillId="0" borderId="0"/>
  </cellStyleXfs>
  <cellXfs count="140">
    <xf numFmtId="0" fontId="0" fillId="0" borderId="0" pivotButton="0" quotePrefix="0" xfId="4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3" borderId="0" applyAlignment="1" pivotButton="0" quotePrefix="0" xfId="0">
      <alignment vertical="center" wrapText="1"/>
    </xf>
    <xf numFmtId="0" fontId="4" fillId="0" borderId="0" pivotButton="0" quotePrefix="0" xfId="49"/>
    <xf numFmtId="0" fontId="5" fillId="0" borderId="0" pivotButton="0" quotePrefix="0" xfId="49"/>
    <xf numFmtId="0" fontId="6" fillId="4" borderId="0" applyAlignment="1" pivotButton="0" quotePrefix="0" xfId="0">
      <alignment horizontal="center" vertical="center" wrapText="1"/>
    </xf>
    <xf numFmtId="0" fontId="7" fillId="0" borderId="0" applyAlignment="1" pivotButton="0" quotePrefix="0" xfId="0">
      <alignment vertical="center" wrapText="1"/>
    </xf>
    <xf numFmtId="164" fontId="7" fillId="3" borderId="0" applyAlignment="1" pivotButton="0" quotePrefix="0" xfId="0">
      <alignment horizontal="right" vertical="center" wrapText="1"/>
    </xf>
    <xf numFmtId="164" fontId="8" fillId="0" borderId="0" applyAlignment="1" pivotButton="0" quotePrefix="0" xfId="0">
      <alignment horizontal="right" vertical="center" wrapText="1"/>
    </xf>
    <xf numFmtId="0" fontId="8" fillId="0" borderId="0" applyAlignment="1" pivotButton="0" quotePrefix="0" xfId="0">
      <alignment vertical="center" wrapText="1"/>
    </xf>
    <xf numFmtId="0" fontId="9" fillId="0" borderId="0" applyAlignment="1" pivotButton="0" quotePrefix="0" xfId="0">
      <alignment vertical="center" wrapText="1"/>
    </xf>
    <xf numFmtId="164" fontId="7" fillId="0" borderId="0" applyAlignment="1" pivotButton="0" quotePrefix="0" xfId="0">
      <alignment horizontal="right" vertical="center" wrapText="1"/>
    </xf>
    <xf numFmtId="1" fontId="7" fillId="0" borderId="0" applyAlignment="1" pivotButton="0" quotePrefix="0" xfId="0">
      <alignment horizontal="right" vertical="center" wrapText="1"/>
    </xf>
    <xf numFmtId="2" fontId="7" fillId="0" borderId="0" applyAlignment="1" pivotButton="0" quotePrefix="0" xfId="0">
      <alignment horizontal="right" vertical="center" wrapText="1"/>
    </xf>
    <xf numFmtId="1" fontId="7" fillId="3" borderId="0" applyAlignment="1" pivotButton="0" quotePrefix="0" xfId="0">
      <alignment horizontal="right" vertical="center" wrapText="1"/>
    </xf>
    <xf numFmtId="164" fontId="8" fillId="0" borderId="0" applyAlignment="1" pivotButton="0" quotePrefix="0" xfId="0">
      <alignment vertical="center" wrapText="1"/>
    </xf>
    <xf numFmtId="0" fontId="7" fillId="3" borderId="0" applyAlignment="1" pivotButton="0" quotePrefix="0" xfId="0">
      <alignment vertical="center" wrapText="1"/>
    </xf>
    <xf numFmtId="2" fontId="8" fillId="0" borderId="0" applyAlignment="1" pivotButton="0" quotePrefix="0" xfId="0">
      <alignment vertical="center" wrapText="1"/>
    </xf>
    <xf numFmtId="0" fontId="6" fillId="2" borderId="0" applyAlignment="1" pivotButton="0" quotePrefix="0" xfId="0">
      <alignment vertical="center" wrapText="1"/>
    </xf>
    <xf numFmtId="0" fontId="0" fillId="3" borderId="0" pivotButton="0" quotePrefix="0" xfId="0"/>
    <xf numFmtId="164" fontId="0" fillId="0" borderId="0" pivotButton="0" quotePrefix="0" xfId="0"/>
    <xf numFmtId="0" fontId="10" fillId="0" borderId="0" pivotButton="0" quotePrefix="0" xfId="0"/>
    <xf numFmtId="0" fontId="11" fillId="5" borderId="1" applyAlignment="1" pivotButton="0" quotePrefix="0" xfId="0">
      <alignment horizontal="center" vertical="center"/>
    </xf>
    <xf numFmtId="0" fontId="12" fillId="0" borderId="1" applyAlignment="1" pivotButton="0" quotePrefix="0" xfId="49">
      <alignment vertical="top" wrapText="1"/>
    </xf>
    <xf numFmtId="0" fontId="12" fillId="0" borderId="1" applyAlignment="1" pivotButton="0" quotePrefix="0" xfId="49">
      <alignment horizontal="center" vertical="center"/>
    </xf>
    <xf numFmtId="0" fontId="12" fillId="0" borderId="1" applyAlignment="1" pivotButton="0" quotePrefix="0" xfId="0">
      <alignment vertical="top" wrapText="1"/>
    </xf>
    <xf numFmtId="0" fontId="12" fillId="0" borderId="1" applyAlignment="1" pivotButton="0" quotePrefix="0" xfId="0">
      <alignment horizontal="center" vertical="center"/>
    </xf>
    <xf numFmtId="0" fontId="10" fillId="0" borderId="0" pivotButton="0" quotePrefix="0" xfId="49"/>
    <xf numFmtId="0" fontId="11" fillId="6" borderId="0" pivotButton="0" quotePrefix="0" xfId="0"/>
    <xf numFmtId="0" fontId="0" fillId="0" borderId="0" applyAlignment="1" pivotButton="0" quotePrefix="0" xfId="0">
      <alignment vertical="top" wrapText="1"/>
    </xf>
    <xf numFmtId="0" fontId="13" fillId="0" borderId="0" pivotButton="0" quotePrefix="0" xfId="49"/>
    <xf numFmtId="0" fontId="14" fillId="0" borderId="0" pivotButton="0" quotePrefix="0" xfId="49"/>
    <xf numFmtId="0" fontId="15" fillId="0" borderId="0" pivotButton="0" quotePrefix="0" xfId="49"/>
    <xf numFmtId="0" fontId="16" fillId="4" borderId="0" applyAlignment="1" pivotButton="0" quotePrefix="0" xfId="49">
      <alignment horizontal="center" vertical="center" wrapText="1"/>
    </xf>
    <xf numFmtId="0" fontId="13" fillId="0" borderId="0" applyAlignment="1" pivotButton="0" quotePrefix="0" xfId="49">
      <alignment vertical="center" wrapText="1"/>
    </xf>
    <xf numFmtId="164" fontId="13" fillId="3" borderId="0" applyAlignment="1" pivotButton="0" quotePrefix="0" xfId="49">
      <alignment horizontal="center" vertical="center" wrapText="1"/>
    </xf>
    <xf numFmtId="0" fontId="13" fillId="0" borderId="0" applyAlignment="1" pivotButton="0" quotePrefix="0" xfId="49">
      <alignment horizontal="center" vertical="center" wrapText="1"/>
    </xf>
    <xf numFmtId="1" fontId="13" fillId="0" borderId="0" applyAlignment="1" pivotButton="0" quotePrefix="0" xfId="49">
      <alignment horizontal="center" vertical="center" wrapText="1"/>
    </xf>
    <xf numFmtId="0" fontId="17" fillId="0" borderId="0" applyAlignment="1" pivotButton="0" quotePrefix="0" xfId="49">
      <alignment vertical="center"/>
    </xf>
    <xf numFmtId="0" fontId="17" fillId="0" borderId="0" pivotButton="0" quotePrefix="0" xfId="49"/>
    <xf numFmtId="0" fontId="18" fillId="0" borderId="0" pivotButton="0" quotePrefix="0" xfId="49"/>
    <xf numFmtId="0" fontId="19" fillId="0" borderId="0" pivotButton="0" quotePrefix="0" xfId="49"/>
    <xf numFmtId="0" fontId="20" fillId="0" borderId="0" pivotButton="0" quotePrefix="0" xfId="49"/>
    <xf numFmtId="0" fontId="7" fillId="0" borderId="0" applyAlignment="1" pivotButton="0" quotePrefix="0" xfId="0">
      <alignment vertical="top" wrapText="1"/>
    </xf>
    <xf numFmtId="164" fontId="7" fillId="3" borderId="0" applyAlignment="1" pivotButton="0" quotePrefix="0" xfId="0">
      <alignment vertical="top" wrapText="1"/>
    </xf>
    <xf numFmtId="164" fontId="8" fillId="0" borderId="0" applyAlignment="1" pivotButton="0" quotePrefix="0" xfId="0">
      <alignment vertical="top" wrapText="1"/>
    </xf>
    <xf numFmtId="0" fontId="21" fillId="0" borderId="0" pivotButton="0" quotePrefix="0" xfId="0"/>
    <xf numFmtId="0" fontId="12" fillId="0" borderId="0" applyAlignment="1" pivotButton="0" quotePrefix="0" xfId="0">
      <alignment vertical="top" wrapText="1"/>
    </xf>
    <xf numFmtId="0" fontId="16" fillId="7" borderId="1" applyAlignment="1" pivotButton="0" quotePrefix="0" xfId="0">
      <alignment horizontal="center" vertical="center" wrapText="1"/>
    </xf>
    <xf numFmtId="0" fontId="0" fillId="0" borderId="2" pivotButton="0" quotePrefix="0" xfId="0"/>
    <xf numFmtId="0" fontId="0" fillId="0" borderId="3" pivotButton="0" quotePrefix="0" xfId="0"/>
    <xf numFmtId="0" fontId="11" fillId="8" borderId="1" applyAlignment="1" pivotButton="0" quotePrefix="0" xfId="0">
      <alignment vertical="top" wrapText="1"/>
    </xf>
    <xf numFmtId="0" fontId="22" fillId="0" borderId="1" applyAlignment="1" pivotButton="0" quotePrefix="0" xfId="0">
      <alignment horizontal="center" vertical="center" wrapText="1"/>
    </xf>
    <xf numFmtId="0" fontId="11" fillId="0" borderId="0" pivotButton="0" quotePrefix="0" xfId="0"/>
    <xf numFmtId="0" fontId="6" fillId="4" borderId="4" applyAlignment="1" pivotButton="0" quotePrefix="0" xfId="0">
      <alignment horizontal="center" vertical="center" wrapText="1"/>
    </xf>
    <xf numFmtId="0" fontId="6" fillId="4" borderId="5" applyAlignment="1" pivotButton="0" quotePrefix="0" xfId="0">
      <alignment horizontal="center" vertical="center" wrapText="1"/>
    </xf>
    <xf numFmtId="0" fontId="6" fillId="4" borderId="6"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horizontal="left" vertical="center" wrapText="1"/>
    </xf>
    <xf numFmtId="165" fontId="7" fillId="3" borderId="0" applyAlignment="1" pivotButton="0" quotePrefix="0" xfId="0">
      <alignment horizontal="right" vertical="center" wrapText="1"/>
    </xf>
    <xf numFmtId="165" fontId="8" fillId="0" borderId="0" applyAlignment="1" pivotButton="0" quotePrefix="0" xfId="0">
      <alignment horizontal="right" vertical="center" wrapText="1"/>
    </xf>
    <xf numFmtId="165" fontId="7" fillId="3" borderId="0" applyAlignment="1" pivotButton="0" quotePrefix="0" xfId="0">
      <alignment vertical="top" wrapText="1"/>
    </xf>
    <xf numFmtId="165" fontId="8" fillId="0" borderId="0" applyAlignment="1" pivotButton="0" quotePrefix="0" xfId="0">
      <alignment vertical="top" wrapText="1"/>
    </xf>
    <xf numFmtId="165" fontId="7" fillId="0" borderId="0" applyAlignment="1" pivotButton="0" quotePrefix="0" xfId="0">
      <alignment horizontal="right" vertical="center" wrapText="1"/>
    </xf>
    <xf numFmtId="165" fontId="2" fillId="0" borderId="0" applyAlignment="1" pivotButton="0" quotePrefix="0" xfId="0">
      <alignment vertical="center" wrapText="1"/>
    </xf>
    <xf numFmtId="165" fontId="0" fillId="3" borderId="0" pivotButton="0" quotePrefix="0" xfId="0"/>
    <xf numFmtId="165" fontId="0" fillId="0" borderId="0" pivotButton="0" quotePrefix="0" xfId="0"/>
    <xf numFmtId="165" fontId="12" fillId="0" borderId="1" applyAlignment="1" pivotButton="0" quotePrefix="0" xfId="0">
      <alignment horizontal="center" vertical="center"/>
    </xf>
    <xf numFmtId="165" fontId="8" fillId="0" borderId="0" applyAlignment="1" pivotButton="0" quotePrefix="0" xfId="0">
      <alignment vertical="center" wrapText="1"/>
    </xf>
    <xf numFmtId="166" fontId="12" fillId="0" borderId="1" applyAlignment="1" pivotButton="0" quotePrefix="0" xfId="0">
      <alignment horizontal="center" vertical="center"/>
    </xf>
    <xf numFmtId="0" fontId="43" fillId="0" borderId="0" pivotButton="0" quotePrefix="0" xfId="0"/>
    <xf numFmtId="0" fontId="43" fillId="0" borderId="0" applyAlignment="1" pivotButton="0" quotePrefix="0" xfId="0">
      <alignment wrapText="1"/>
    </xf>
    <xf numFmtId="0" fontId="43" fillId="39" borderId="0" applyAlignment="1" pivotButton="0" quotePrefix="0" xfId="0">
      <alignment wrapText="1"/>
    </xf>
    <xf numFmtId="0" fontId="44" fillId="39" borderId="0" applyAlignment="1" pivotButton="0" quotePrefix="0" xfId="0">
      <alignment wrapText="1"/>
    </xf>
    <xf numFmtId="0" fontId="1" fillId="39" borderId="0" applyAlignment="1" pivotButton="0" quotePrefix="0" xfId="0">
      <alignment wrapText="1"/>
    </xf>
    <xf numFmtId="0" fontId="43" fillId="40" borderId="0" applyAlignment="1" pivotButton="0" quotePrefix="0" xfId="0">
      <alignment wrapText="1"/>
    </xf>
    <xf numFmtId="165" fontId="43" fillId="40" borderId="0" applyAlignment="1" pivotButton="0" quotePrefix="0" xfId="0">
      <alignment wrapText="1"/>
    </xf>
    <xf numFmtId="165" fontId="43" fillId="0" borderId="0" applyAlignment="1" pivotButton="0" quotePrefix="0" xfId="0">
      <alignment wrapText="1"/>
    </xf>
    <xf numFmtId="165" fontId="7" fillId="3" borderId="0" applyAlignment="1" pivotButton="0" quotePrefix="0" xfId="0">
      <alignment horizontal="right" vertical="center" wrapText="1"/>
    </xf>
    <xf numFmtId="164" fontId="7" fillId="3" borderId="0" applyAlignment="1" pivotButton="0" quotePrefix="0" xfId="0">
      <alignment horizontal="right" vertical="center" wrapText="1"/>
    </xf>
    <xf numFmtId="165" fontId="8" fillId="0" borderId="0" applyAlignment="1" pivotButton="0" quotePrefix="0" xfId="0">
      <alignment horizontal="right" vertical="center" wrapText="1"/>
    </xf>
    <xf numFmtId="165" fontId="7" fillId="3" borderId="0" applyAlignment="1" pivotButton="0" quotePrefix="0" xfId="0">
      <alignment vertical="top" wrapText="1"/>
    </xf>
    <xf numFmtId="164" fontId="7" fillId="3" borderId="0" applyAlignment="1" pivotButton="0" quotePrefix="0" xfId="0">
      <alignment vertical="top" wrapText="1"/>
    </xf>
    <xf numFmtId="165" fontId="8" fillId="0" borderId="0" applyAlignment="1" pivotButton="0" quotePrefix="0" xfId="0">
      <alignment vertical="top" wrapText="1"/>
    </xf>
    <xf numFmtId="164" fontId="8" fillId="0" borderId="0" applyAlignment="1" pivotButton="0" quotePrefix="0" xfId="0">
      <alignment horizontal="right" vertical="center" wrapText="1"/>
    </xf>
    <xf numFmtId="164" fontId="13" fillId="3" borderId="0" applyAlignment="1" pivotButton="0" quotePrefix="0" xfId="49">
      <alignment horizontal="center" vertical="center" wrapText="1"/>
    </xf>
    <xf numFmtId="165" fontId="7" fillId="0" borderId="0" applyAlignment="1" pivotButton="0" quotePrefix="0" xfId="0">
      <alignment horizontal="right" vertical="center" wrapText="1"/>
    </xf>
    <xf numFmtId="164" fontId="7" fillId="0" borderId="0" applyAlignment="1" pivotButton="0" quotePrefix="0" xfId="0">
      <alignment horizontal="right" vertical="center" wrapText="1"/>
    </xf>
    <xf numFmtId="165" fontId="8" fillId="0" borderId="0" applyAlignment="1" pivotButton="0" quotePrefix="0" xfId="0">
      <alignment vertical="center" wrapText="1"/>
    </xf>
    <xf numFmtId="165" fontId="2" fillId="0" borderId="0" applyAlignment="1" pivotButton="0" quotePrefix="0" xfId="0">
      <alignment vertical="center" wrapText="1"/>
    </xf>
    <xf numFmtId="165" fontId="0" fillId="3" borderId="0" pivotButton="0" quotePrefix="0" xfId="0"/>
    <xf numFmtId="165" fontId="0" fillId="0" borderId="0" pivotButton="0" quotePrefix="0" xfId="0"/>
    <xf numFmtId="165" fontId="12" fillId="0" borderId="1" applyAlignment="1" pivotButton="0" quotePrefix="0" xfId="0">
      <alignment horizontal="center" vertical="center"/>
    </xf>
    <xf numFmtId="166" fontId="12" fillId="0" borderId="1" applyAlignment="1" pivotButton="0" quotePrefix="0" xfId="0">
      <alignment horizontal="center" vertical="center"/>
    </xf>
    <xf numFmtId="0" fontId="11" fillId="0" borderId="17" pivotButton="0" quotePrefix="0" xfId="0"/>
    <xf numFmtId="0" fontId="12" fillId="0" borderId="17" pivotButton="0" quotePrefix="0" xfId="0"/>
    <xf numFmtId="0" fontId="12" fillId="41" borderId="17" pivotButton="0" quotePrefix="0" xfId="0"/>
    <xf numFmtId="0" fontId="0" fillId="0" borderId="17" applyAlignment="1" pivotButton="0" quotePrefix="0" xfId="0">
      <alignment vertical="top" wrapText="1"/>
    </xf>
    <xf numFmtId="165" fontId="43" fillId="40" borderId="0" applyAlignment="1" pivotButton="0" quotePrefix="0" xfId="0">
      <alignment wrapText="1"/>
    </xf>
    <xf numFmtId="165" fontId="43" fillId="0" borderId="0" applyAlignment="1" pivotButton="0" quotePrefix="0" xfId="0">
      <alignment wrapText="1"/>
    </xf>
    <xf numFmtId="0" fontId="43" fillId="0" borderId="0" pivotButton="0" quotePrefix="0" xfId="0"/>
    <xf numFmtId="0" fontId="43" fillId="0" borderId="0" applyAlignment="1" pivotButton="0" quotePrefix="0" xfId="0">
      <alignment wrapText="1"/>
    </xf>
    <xf numFmtId="0" fontId="43" fillId="42" borderId="0" applyAlignment="1" pivotButton="0" quotePrefix="0" xfId="0">
      <alignment wrapText="1"/>
    </xf>
    <xf numFmtId="0" fontId="45" fillId="42" borderId="0" applyAlignment="1" pivotButton="0" quotePrefix="0" xfId="0">
      <alignment wrapText="1"/>
    </xf>
    <xf numFmtId="0" fontId="43" fillId="43" borderId="0" applyAlignment="1" pivotButton="0" quotePrefix="0" xfId="0">
      <alignment wrapText="1"/>
    </xf>
    <xf numFmtId="0" fontId="45" fillId="43" borderId="0" applyAlignment="1" pivotButton="0" quotePrefix="0" xfId="0">
      <alignment wrapText="1"/>
    </xf>
    <xf numFmtId="0" fontId="45" fillId="44" borderId="0" applyAlignment="1" pivotButton="0" quotePrefix="0" xfId="0">
      <alignment wrapText="1"/>
    </xf>
    <xf numFmtId="0" fontId="43" fillId="44" borderId="0" applyAlignment="1" pivotButton="0" quotePrefix="0" xfId="0">
      <alignment wrapText="1"/>
    </xf>
    <xf numFmtId="0" fontId="1" fillId="44" borderId="0" applyAlignment="1" pivotButton="0" quotePrefix="0" xfId="0">
      <alignment wrapText="1"/>
    </xf>
    <xf numFmtId="0" fontId="44" fillId="44" borderId="0" applyAlignment="1" pivotButton="0" quotePrefix="0" xfId="0">
      <alignment wrapText="1"/>
    </xf>
    <xf numFmtId="165" fontId="7" fillId="3" borderId="0" applyAlignment="1" pivotButton="0" quotePrefix="0" xfId="0">
      <alignment horizontal="right" vertical="center" wrapText="1"/>
    </xf>
    <xf numFmtId="165" fontId="0" fillId="0" borderId="0" pivotButton="0" quotePrefix="0" xfId="0"/>
    <xf numFmtId="165" fontId="8" fillId="0" borderId="0" applyAlignment="1" pivotButton="0" quotePrefix="0" xfId="0">
      <alignment horizontal="right" vertical="center" wrapText="1"/>
    </xf>
    <xf numFmtId="0" fontId="0" fillId="0" borderId="0" applyAlignment="1" pivotButton="0" quotePrefix="0" xfId="0">
      <alignment wrapText="1"/>
    </xf>
    <xf numFmtId="165" fontId="0" fillId="41" borderId="0" pivotButton="0" quotePrefix="0" xfId="0"/>
    <xf numFmtId="0" fontId="0" fillId="41" borderId="0" pivotButton="0" quotePrefix="0" xfId="49"/>
    <xf numFmtId="0" fontId="0" fillId="41" borderId="2" pivotButton="0" quotePrefix="0" xfId="0"/>
    <xf numFmtId="0" fontId="16" fillId="41" borderId="1" applyAlignment="1" pivotButton="0" quotePrefix="0" xfId="0">
      <alignment horizontal="center" vertical="center" wrapText="1"/>
    </xf>
    <xf numFmtId="0" fontId="22" fillId="41" borderId="1" applyAlignment="1" pivotButton="0" quotePrefix="0" xfId="0">
      <alignment horizontal="center" vertical="center" wrapText="1"/>
    </xf>
    <xf numFmtId="0" fontId="0" fillId="0" borderId="0" applyAlignment="1" pivotButton="0" quotePrefix="0" xfId="0">
      <alignment horizontal="center" vertical="center" wrapText="1"/>
    </xf>
    <xf numFmtId="0" fontId="12" fillId="0" borderId="0" applyAlignment="1" pivotButton="0" quotePrefix="0" xfId="49">
      <alignment vertical="top" wrapText="1"/>
    </xf>
    <xf numFmtId="0" fontId="43" fillId="0" borderId="0" pivotButton="0" quotePrefix="0" xfId="0"/>
    <xf numFmtId="0" fontId="43" fillId="0" borderId="0" applyAlignment="1" pivotButton="0" quotePrefix="0" xfId="0">
      <alignment wrapText="1"/>
    </xf>
    <xf numFmtId="0" fontId="43" fillId="45" borderId="0" applyAlignment="1" pivotButton="0" quotePrefix="0" xfId="0">
      <alignment wrapText="1"/>
    </xf>
    <xf numFmtId="0" fontId="44" fillId="45" borderId="0" applyAlignment="1" pivotButton="0" quotePrefix="0" xfId="0">
      <alignment wrapText="1"/>
    </xf>
    <xf numFmtId="0" fontId="1" fillId="45" borderId="0" applyAlignment="1" pivotButton="0" quotePrefix="0" xfId="0">
      <alignment wrapText="1"/>
    </xf>
    <xf numFmtId="165" fontId="43" fillId="0" borderId="0" applyAlignment="1" pivotButton="0" quotePrefix="0" xfId="0">
      <alignment wrapText="1"/>
    </xf>
    <xf numFmtId="165" fontId="1" fillId="45" borderId="0" applyAlignment="1" pivotButton="0" quotePrefix="0" xfId="0">
      <alignment wrapText="1"/>
    </xf>
    <xf numFmtId="0" fontId="43" fillId="46" borderId="0" applyAlignment="1" pivotButton="0" quotePrefix="0" xfId="0">
      <alignment wrapText="1"/>
    </xf>
    <xf numFmtId="165" fontId="43" fillId="46" borderId="0" applyAlignment="1" pivotButton="0" quotePrefix="0" xfId="0">
      <alignment wrapText="1"/>
    </xf>
    <xf numFmtId="0" fontId="0" fillId="0" borderId="0" applyAlignment="1" pivotButton="0" quotePrefix="0" xfId="0">
      <alignment wrapText="1"/>
    </xf>
    <xf numFmtId="0" fontId="0" fillId="47" borderId="0" pivotButton="0" quotePrefix="0" xfId="49"/>
    <xf numFmtId="0" fontId="46" fillId="48" borderId="17" applyAlignment="1" pivotButton="0" quotePrefix="0" xfId="0">
      <alignment vertical="top" wrapText="1"/>
    </xf>
    <xf numFmtId="0" fontId="0" fillId="0" borderId="20" pivotButton="0" quotePrefix="0" xfId="0"/>
    <xf numFmtId="0" fontId="12" fillId="0" borderId="17" applyAlignment="1" pivotButton="0" quotePrefix="0" xfId="0">
      <alignment vertical="top" wrapText="1"/>
    </xf>
    <xf numFmtId="0" fontId="11" fillId="0" borderId="17" applyAlignment="1" pivotButton="0" quotePrefix="0" xfId="0">
      <alignment vertical="top" wrapText="1"/>
    </xf>
    <xf numFmtId="0" fontId="12" fillId="47" borderId="17" applyAlignment="1" pivotButton="0" quotePrefix="0" xfId="0">
      <alignment vertical="top" wrapText="1"/>
    </xf>
  </cellXfs>
  <cellStyles count="50">
    <cellStyle name="常规" xfId="0"/>
    <cellStyle name="千位分隔" xfId="1"/>
    <cellStyle name="货币" xfId="2"/>
    <cellStyle name="百分比" xfId="3"/>
    <cellStyle name="千位分隔[0]" xfId="4"/>
    <cellStyle name="货币[0]" xfId="5"/>
    <cellStyle name="超链接" xfId="6"/>
    <cellStyle name="已访问的超链接" xfId="7"/>
    <cellStyle name="注释" xfId="8"/>
    <cellStyle name="警告文本" xfId="9"/>
    <cellStyle name="标题" xfId="10"/>
    <cellStyle name="解释性文本" xfId="11"/>
    <cellStyle name="标题 1" xfId="12"/>
    <cellStyle name="标题 2" xfId="13"/>
    <cellStyle name="标题 3" xfId="14"/>
    <cellStyle name="标题 4" xfId="15"/>
    <cellStyle name="输入" xfId="16"/>
    <cellStyle name="输出" xfId="17"/>
    <cellStyle name="计算" xfId="18"/>
    <cellStyle name="检查单元格" xfId="19"/>
    <cellStyle name="链接单元格" xfId="20"/>
    <cellStyle name="汇总" xfId="21"/>
    <cellStyle name="好" xfId="22"/>
    <cellStyle name="差" xfId="23"/>
    <cellStyle name="适中" xfId="24"/>
    <cellStyle name="强调文字颜色 1" xfId="25"/>
    <cellStyle name="20% - 强调文字颜色 1" xfId="26"/>
    <cellStyle name="40% - 强调文字颜色 1" xfId="27"/>
    <cellStyle name="60% - 强调文字颜色 1" xfId="28"/>
    <cellStyle name="强调文字颜色 2" xfId="29"/>
    <cellStyle name="20% - 强调文字颜色 2" xfId="30"/>
    <cellStyle name="40% - 强调文字颜色 2" xfId="31"/>
    <cellStyle name="60% - 强调文字颜色 2" xfId="32"/>
    <cellStyle name="强调文字颜色 3" xfId="33"/>
    <cellStyle name="20% - 强调文字颜色 3" xfId="34"/>
    <cellStyle name="40% - 强调文字颜色 3" xfId="35"/>
    <cellStyle name="60% - 强调文字颜色 3" xfId="36"/>
    <cellStyle name="强调文字颜色 4" xfId="37"/>
    <cellStyle name="20% - 强调文字颜色 4" xfId="38"/>
    <cellStyle name="40% - 强调文字颜色 4" xfId="39"/>
    <cellStyle name="60% - 强调文字颜色 4" xfId="40"/>
    <cellStyle name="强调文字颜色 5" xfId="41"/>
    <cellStyle name="20% - 强调文字颜色 5" xfId="42"/>
    <cellStyle name="40% - 强调文字颜色 5" xfId="43"/>
    <cellStyle name="60% - 强调文字颜色 5" xfId="44"/>
    <cellStyle name="强调文字颜色 6" xfId="45"/>
    <cellStyle name="20% - 强调文字颜色 6" xfId="46"/>
    <cellStyle name="40% - 强调文字颜色 6" xfId="47"/>
    <cellStyle name="60% - 强调文字颜色 6" xfId="48"/>
    <cellStyle name="Normal" xfId="49"/>
  </cellStyles>
  <dxfs count="17">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AmazonOpsWorkOptimized" displayName="AmazonOpsWorkOptimized" ref="A1:G59" headerRowCount="1" totalsRowCount="0"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65" headerRowCount="1" totalsRowCount="0" totalsRowShown="0">
  <tableColumns count="9">
    <tableColumn id="1" name="一级模块"/>
    <tableColumn id="2" name="工作项目"/>
    <tableColumn id="3" name="基础金额（元）"/>
    <tableColumn id="4" name="难度系数"/>
    <tableColumn id="5" name="基础金额及计费单位"/>
    <tableColumn id="6" name="难度系数等级"/>
    <tableColumn id="7" name="默认示例金额（元）"/>
    <tableColumn id="8" name="验收与防重复规则"/>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68"/>
  <sheetViews>
    <sheetView showGridLines="0" workbookViewId="0">
      <pane xSplit="2" ySplit="1" topLeftCell="C2" activePane="bottomRight" state="frozen"/>
      <selection activeCell="A1" sqref="A1"/>
    </sheetView>
  </sheetViews>
  <sheetFormatPr baseColWidth="8" defaultColWidth="9" defaultRowHeight="13.5"/>
  <cols>
    <col width="18" customWidth="1" style="1" min="1" max="1"/>
    <col width="27" customWidth="1" style="1" min="2" max="2"/>
    <col width="58" customWidth="1" style="1" min="3" max="3"/>
    <col width="65" customWidth="1" style="1" min="4" max="4"/>
    <col width="48" customWidth="1" style="1" min="5" max="5"/>
    <col width="52" customWidth="1" style="1" min="6" max="6"/>
    <col width="65" customWidth="1" style="1" min="7" max="7"/>
  </cols>
  <sheetData>
    <row r="1" ht="32" customHeight="1" s="1">
      <c r="A1" s="57" t="inlineStr">
        <is>
          <t>一级模块</t>
        </is>
      </c>
      <c r="B1" s="58" t="inlineStr">
        <is>
          <t>二级模块</t>
        </is>
      </c>
      <c r="C1" s="59" t="inlineStr">
        <is>
          <t>具体运营工作</t>
        </is>
      </c>
      <c r="D1" s="3" t="inlineStr">
        <is>
          <t>分类边界</t>
        </is>
      </c>
      <c r="E1" s="3" t="inlineStr">
        <is>
          <t>计量单位</t>
        </is>
      </c>
      <c r="F1" s="3" t="inlineStr">
        <is>
          <t>标准交付物</t>
        </is>
      </c>
      <c r="G1" s="3" t="inlineStr">
        <is>
          <t>验收标准</t>
        </is>
      </c>
    </row>
    <row r="2" ht="300" customHeight="1" s="1">
      <c r="A2" s="60" t="inlineStr">
        <is>
          <t>新品上架</t>
        </is>
      </c>
      <c r="B2" s="9" t="inlineStr">
        <is>
          <t>Listing创建</t>
        </is>
      </c>
      <c r="C2" s="9" t="inlineStr">
        <is>
          <t>根据提供的资料下载并填写Category模板，或直接创建Listing；同时完成SKU、价格、库存和配送方式设置；完成父体、子体、全新组件变体或已有变体添加；处理上架报错</t>
        </is>
      </c>
      <c r="D2" s="61" t="inlineStr">
        <is>
          <t>按上架执行组计量：同次安排、同一执行人、同一站点、可共用一张上架表的SKU集合。OA仍一条一个SKU，通过组编号关联；父子关系操作已含在本组难度中，不再另计变体关系维护。
上架基础金额包含：到后台下载对应模板，将别人提供的文案用Codex改写、核对并填入表格，设置商品及变体，上传、处理报错并核验；不再叠加标题、五点、描述等编写金额。只有员工需要独立研究产品、构思卖点并交付原创文案时，才按对应文案项目另计。产品资料额外核实、独立图片/A+策划按各自交付计费；相同工作不重复。</t>
        </is>
      </c>
      <c r="E2" s="61" t="inlineStr">
        <is>
          <t>一个上架执行组；登记组编号、全部OA编号、商品SKU数量及本次需处理关系的不同父体数量。</t>
        </is>
      </c>
      <c r="F2" s="61" t="inlineStr">
        <is>
          <t>上架清单、上传文件或设置记录、父子关系及报错处理记录。</t>
        </is>
      </c>
      <c r="G2" s="61" t="inlineStr">
        <is>
          <t>指定SKU创建结果、适用字段和父子关系核对完成；可售或待审核状态有记录；未成功项说明原因和下一步。</t>
        </is>
      </c>
    </row>
    <row r="3" ht="300" customHeight="1" s="1">
      <c r="A3" s="60" t="inlineStr">
        <is>
          <t>新品上架</t>
        </is>
      </c>
      <c r="B3" s="9" t="inlineStr">
        <is>
          <t>图片上传维护</t>
        </is>
      </c>
      <c r="C3" s="9" t="inlineStr">
        <is>
          <t>根据提供的图片完成新品主图、辅图上传、替换和排序</t>
        </is>
      </c>
      <c r="D3" s="61" t="inlineStr">
        <is>
          <t>取得可用图片后上传并核验；未取得图片标记“待图片”，暂停时限，齐备后恢复剩余时限。仅需协调取图的SKU用1.3。样品备货与拍摄协调另计独立任务；同一上传成果不重复计费。</t>
        </is>
      </c>
      <c r="E3" s="61" t="inlineStr">
        <is>
          <t>每个SKU：10元。
每个SKU上传自己的产品图片；不按批量降低金额。</t>
        </is>
      </c>
      <c r="F3" s="61" t="inlineStr">
        <is>
          <t>任务/OA编号、SKU或内容编号、执行记录及验收证据。</t>
        </is>
      </c>
      <c r="G3" s="61" t="inlineStr">
        <is>
          <t>按任务范围完成并核验，未完成事项与外部等待另行标记，不以提交代替完成。</t>
        </is>
      </c>
    </row>
    <row r="4" ht="300" customHeight="1" s="1">
      <c r="A4" s="60" t="inlineStr">
        <is>
          <t>产品素材准备</t>
        </is>
      </c>
      <c r="B4" s="9" t="inlineStr">
        <is>
          <t>样品备货与拍摄协调</t>
        </is>
      </c>
      <c r="C4" s="9" t="inlineStr">
        <is>
          <t>创建备货计划，由系统审核、专人采购；员工跟进到货，交接美工拍照，并核对、取得可用图片。</t>
        </is>
      </c>
      <c r="D4" s="61" t="inlineStr">
        <is>
          <t>员工负责创建备货计划、跟进到货、交接美工拍摄及核对收图；系统审核、专人采购、美工拍摄。同一次安排覆盖多个SKU只计一次25元，不按SKU数量、催办次数或等待时长增加金额。核对并取得可用图片后验收；图片上传另按10元/SKU计费，实际采购、拍照、设计及修图不属于本项员工执行范围。</t>
        </is>
      </c>
      <c r="E4" s="61" t="inlineStr">
        <is>
          <t>完成创建备货计划、到货跟进、交接美工拍照、核对并取得可用图片，计25元/完整任务。
各环节合并计费，不按阶段拆分。</t>
        </is>
      </c>
      <c r="F4" s="61" t="inlineStr">
        <is>
          <t>任务及备货计划编号、SKU清单、到货记录、美工交接记录及可用图片交付记录。</t>
        </is>
      </c>
      <c r="G4" s="61" t="inlineStr">
        <is>
          <t>完成创建备货计划、到货跟进、交接拍摄并核对取得可用图片后，按完整任务验收计25元。未取得可用图片时继续跟进，不按阶段分别结算。</t>
        </is>
      </c>
    </row>
    <row r="5" ht="300" customHeight="1" s="1">
      <c r="A5" s="60" t="inlineStr">
        <is>
          <t>新品上架</t>
        </is>
      </c>
      <c r="B5" s="9" t="inlineStr">
        <is>
          <t>A+制作发布</t>
        </is>
      </c>
      <c r="C5" s="9" t="inlineStr">
        <is>
          <t>独立构思A+页面、编写文案及美工制作要求，跟进制作并核验成品，完成发布及首次绑定；已有A+仅绑定按原规则。</t>
        </is>
      </c>
      <c r="D5" s="61" t="inlineStr">
        <is>
          <t>独立新建或完全重做A+为75元/份，包含产品卖点理解、页面构思、文案、美工制作要求、制作跟进、成品核验、发布及首次SKU绑定，不再叠加A+策划金额或相同素材的图片策划金额。同份内容多SKU共用只计一次，不按绑定数增加制作金额。后续独立绑定任务5元/SKU，局部修改按同份同轮10元；翻译发布已有内容按翻译项目。同一份完整A+只在两个A+制作项目中选择一项计费。首次制作发布核验后验收；已有内容实质优化重做还须完成复盘。</t>
        </is>
      </c>
      <c r="E5" s="61" t="inlineStr">
        <is>
          <t>加入已有A+：5元/SKU。
新建或完全重做A+：75元/独立内容。
共用同一份只计一次；不同内容按实际份数相加。</t>
        </is>
      </c>
      <c r="F5" s="61" t="inlineStr">
        <is>
          <t>任务/OA编号、SKU或内容编号、执行记录及验收证据。</t>
        </is>
      </c>
      <c r="G5" s="61" t="inlineStr">
        <is>
          <t>首次制作：发布及应用核验完成；已有内容优化重做：另完成优化复盘。仅绑定：关系及应用结果核验。</t>
        </is>
      </c>
    </row>
    <row r="6" ht="300" customHeight="1" s="1">
      <c r="A6" s="60" t="inlineStr">
        <is>
          <t>新品上架</t>
        </is>
      </c>
      <c r="B6" s="9" t="inlineStr">
        <is>
          <t>视频上传与信息维护</t>
        </is>
      </c>
      <c r="C6" s="9" t="inlineStr">
        <is>
          <t>修改视频标题等信息，上传或替换视频，为已有视频增加ASIN，完成对应关系及展示核验。</t>
        </is>
      </c>
      <c r="D6" s="61" t="inlineStr">
        <is>
          <t>同一视频同一轮，上传或替换已包含标题填写及首次ASIN绑定，不再叠加。已有视频同时修改标题并新增ASIN，可分别计标题修改与绑定金额。上传失败重试、重复上传同一文件、修复本人错误不新增金额。拍摄与剪辑不含在本项。</t>
        </is>
      </c>
      <c r="E6" s="61" t="inlineStr">
        <is>
          <t>修改标题等信息：5元/视频/轮。
上传或替换视频：15元/独立视频，含标题、首次ASIN绑定及核验。
已有视频添加ASIN：同视频同批次，1个SKU对应的ASIN计5元，2个及以上计10元；不同视频分别计算。</t>
        </is>
      </c>
      <c r="F6" s="61" t="inlineStr">
        <is>
          <t>任务/OA编号、SKU或内容编号、执行记录及验收证据。</t>
        </is>
      </c>
      <c r="G6" s="61" t="inlineStr">
        <is>
          <t>按任务范围完成并核验，未完成事项与外部等待另行标记，不以提交代替完成。</t>
        </is>
      </c>
    </row>
    <row r="7" ht="300" customHeight="1" s="1">
      <c r="A7" s="60" t="inlineStr">
        <is>
          <t>Listing内容维护</t>
        </is>
      </c>
      <c r="B7" s="9" t="inlineStr">
        <is>
          <t>Listing纠错</t>
        </is>
      </c>
      <c r="C7" s="9" t="inlineStr">
        <is>
          <t>根据产品资料、系统异常、VOC分析结果或负责人要求，对标题、五点、描述、Generic Keywords、图片、A+或视频进行纠错</t>
        </is>
      </c>
      <c r="D7" s="61" t="inlineStr">
        <is>
          <t>每次必须检查标题、五点、描述、A+、主图及视频，缺少该模块标记“不适用”。发现的错误全部修正并核验后验收；检查包含在纠错金额中。修复自己造成的错误不新增金额。同一纠错成果不再计图片、A+或视频修改分。</t>
        </is>
      </c>
      <c r="E7" s="61" t="inlineStr">
        <is>
          <t>每个独立错误点：10元。
同一错误在多个位置重复出现，合并为1个错误点。</t>
        </is>
      </c>
      <c r="F7" s="61" t="inlineStr">
        <is>
          <t>任务/OA编号、SKU或内容编号、执行记录及验收证据。</t>
        </is>
      </c>
      <c r="G7" s="61" t="inlineStr">
        <is>
          <t>每次必须检查标题、五点、描述、A+、主图及视频，缺少该模块标记“不适用”。发现的错误全部修正并核验后验收；检查包含在纠错金额中。修复自己造成的错误不新增金额。同一纠错成果不再计图片、A+或视频修改分。</t>
        </is>
      </c>
    </row>
    <row r="8" ht="380" customHeight="1" s="1">
      <c r="A8" s="60" t="inlineStr">
        <is>
          <t>Listing内容维护</t>
        </is>
      </c>
      <c r="B8" s="9" t="inlineStr">
        <is>
          <t>标题编写与优化</t>
        </is>
      </c>
      <c r="C8" s="9" t="inlineStr">
        <is>
          <t>覆盖新品首次文案编写及已有Listing后续实质优化；依据已确认的产品事实，编写对应标题、五点、描述或搜索关键词内容。</t>
        </is>
      </c>
      <c r="D8" s="61"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E8" s="61" t="inlineStr">
        <is>
          <t>每个Listing标题：10元。</t>
        </is>
      </c>
      <c r="F8" s="61" t="inlineStr">
        <is>
          <t>开发项目／任务编号、产品资料来源、文案定稿及确认记录；后续优化另附前后对照、上线核验及复盘结论。</t>
        </is>
      </c>
      <c r="G8" s="61" t="inlineStr">
        <is>
          <t>首次：文案完整准确、可供上架并经确认；后续优化：更新核验且完成复盘。</t>
        </is>
      </c>
    </row>
    <row r="9" ht="380" customHeight="1" s="1">
      <c r="A9" s="60" t="inlineStr">
        <is>
          <t>Listing内容维护</t>
        </is>
      </c>
      <c r="B9" s="9" t="inlineStr">
        <is>
          <t>五点编写与优化</t>
        </is>
      </c>
      <c r="C9" s="9" t="inlineStr">
        <is>
          <t>覆盖新品首次文案编写及已有Listing后续实质优化；依据已确认的产品事实，编写对应标题、五点、描述或搜索关键词内容。</t>
        </is>
      </c>
      <c r="D9" s="61"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E9" s="61" t="inlineStr">
        <is>
          <t>每个Listing的一套五点：15元。首次编写一套计15元；后续同轮改1点、几点或全部五点均计15元，不按条数累加。</t>
        </is>
      </c>
      <c r="F9" s="61" t="inlineStr">
        <is>
          <t>开发项目／任务编号、产品资料来源、文案定稿及确认记录；后续优化另附前后对照、上线核验及复盘结论。</t>
        </is>
      </c>
      <c r="G9" s="61" t="inlineStr">
        <is>
          <t>首次：文案完整准确、可供上架并经确认；后续优化：更新核验且完成复盘。</t>
        </is>
      </c>
    </row>
    <row r="10" ht="380" customHeight="1" s="1">
      <c r="A10" s="60" t="inlineStr">
        <is>
          <t>Listing内容维护</t>
        </is>
      </c>
      <c r="B10" s="9" t="inlineStr">
        <is>
          <t>描述编写与优化</t>
        </is>
      </c>
      <c r="C10" s="9" t="inlineStr">
        <is>
          <t>覆盖新品首次文案编写及已有Listing后续实质优化；依据已确认的产品事实，编写对应标题、五点、描述或搜索关键词内容。</t>
        </is>
      </c>
      <c r="D10" s="61"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E10" s="61" t="inlineStr">
        <is>
          <t>每个Listing的一份描述：15元。</t>
        </is>
      </c>
      <c r="F10" s="61" t="inlineStr">
        <is>
          <t>开发项目／任务编号、产品资料来源、文案定稿及确认记录；后续优化另附前后对照、上线核验及复盘结论。</t>
        </is>
      </c>
      <c r="G10" s="61" t="inlineStr">
        <is>
          <t>首次：文案完整准确、可供上架并经确认；后续优化：更新核验且完成复盘。</t>
        </is>
      </c>
    </row>
    <row r="11" ht="380" customHeight="1" s="1">
      <c r="A11" s="60" t="inlineStr">
        <is>
          <t>Listing内容维护</t>
        </is>
      </c>
      <c r="B11" s="9" t="inlineStr">
        <is>
          <t>Generic Keywords编写与优化</t>
        </is>
      </c>
      <c r="C11" s="9" t="inlineStr">
        <is>
          <t>覆盖新品首次文案编写及已有Listing后续实质优化；依据已确认的产品事实，编写对应标题、五点、描述或搜索关键词内容。</t>
        </is>
      </c>
      <c r="D11" s="61"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E11" s="61" t="inlineStr">
        <is>
          <t>每个Listing的一套Generic Keywords：10元。</t>
        </is>
      </c>
      <c r="F11" s="61" t="inlineStr">
        <is>
          <t>开发项目／任务编号、产品资料来源、文案定稿及确认记录；后续优化另附前后对照、上线核验及复盘结论。</t>
        </is>
      </c>
      <c r="G11" s="61" t="inlineStr">
        <is>
          <t>首次：文案完整准确、可供上架并经确认；后续优化：更新核验且完成复盘。</t>
        </is>
      </c>
    </row>
    <row r="12" ht="300" customHeight="1" s="1">
      <c r="A12" s="60" t="inlineStr">
        <is>
          <t>Listing内容维护</t>
        </is>
      </c>
      <c r="B12" s="9" t="inlineStr">
        <is>
          <t>全新制作或完全重做A+</t>
        </is>
      </c>
      <c r="C12" s="9" t="inlineStr">
        <is>
          <t>独立构思A+页面、编写文案及美工制作要求，跟进制作并核验成品，完成发布及首次绑定；已有A+仅绑定按原规则。</t>
        </is>
      </c>
      <c r="D12" s="61" t="inlineStr">
        <is>
          <t>独立新建或完全重做A+为75元/份，包含产品卖点理解、页面构思、文案、美工制作要求、制作跟进、成品核验、发布及首次SKU绑定，不再叠加A+策划金额或相同素材的图片策划金额。同份内容多SKU共用只计一次，不按绑定数增加制作金额。后续独立绑定任务5元/SKU，局部修改按同份同轮10元；翻译发布已有内容按翻译项目。同一份完整A+只在两个A+制作项目中选择一项计费。首次制作发布核验后验收；已有内容实质优化重做还须完成复盘。</t>
        </is>
      </c>
      <c r="E12" s="61" t="inlineStr">
        <is>
          <t>每份独立A+：75元。多个SKU共用同一份只计75元；不同内容按实际份数相加。</t>
        </is>
      </c>
      <c r="F12" s="61" t="inlineStr">
        <is>
          <t>问题依据、修改前后内容、上线核验、复盘日期及结论。</t>
        </is>
      </c>
      <c r="G12" s="61" t="inlineStr">
        <is>
          <t>首次制作：发布及应用核验完成；已有内容优化重做：另完成优化复盘。仅绑定：关系及应用结果核验。</t>
        </is>
      </c>
    </row>
    <row r="13" ht="300" customHeight="1" s="1">
      <c r="A13" s="60" t="inlineStr">
        <is>
          <t>Listing内容维护</t>
        </is>
      </c>
      <c r="B13" s="9" t="inlineStr">
        <is>
          <t>A+内容增删修改</t>
        </is>
      </c>
      <c r="C13" s="9" t="inlineStr">
        <is>
          <t>增加信息、删除信息或局部修改A+内容；包括新增或删除整个模块。</t>
        </is>
      </c>
      <c r="D13" s="61" t="inlineStr">
        <is>
          <t>同一份A+同一轮内所有局部增加、删除或修改合计10元，不按模块数量累加；同一轮反复调整不重复计费。全新制作或完全重做按75元/份，不叠加局部修改金额。仅增加绑定SKU归A+制作发布，按5元/SKU。单纯事实纠错按Listing纠错计费。以优化为目的的修改执行优化登记与复盘规则。</t>
        </is>
      </c>
      <c r="E13" s="61" t="inlineStr">
        <is>
          <t>同一份A+同一轮局部修改合计10元。
不按模块数量累加；全新制作或完全重做按75元/份。</t>
        </is>
      </c>
      <c r="F13" s="61" t="inlineStr">
        <is>
          <t>问题依据、修改前后内容、上线核验、复盘日期及结论。</t>
        </is>
      </c>
      <c r="G13" s="61" t="inlineStr">
        <is>
          <t>指定增删修改完成并核验；以优化为目的时还需完成复盘。单纯纠错按纠错规则验收。</t>
        </is>
      </c>
    </row>
    <row r="14" ht="300" customHeight="1" s="1">
      <c r="A14" s="60" t="inlineStr">
        <is>
          <t>Listing内容维护</t>
        </is>
      </c>
      <c r="B14" s="9" t="inlineStr">
        <is>
          <t>变体关系维护</t>
        </is>
      </c>
      <c r="C14" s="9" t="inlineStr">
        <is>
          <t>处理原变体异常后的重新组合、异常ASIN拆分重组、SKU加入已有变体、变体选项修正，以及原独立商品组成新变体。</t>
        </is>
      </c>
      <c r="D14" s="61" t="inlineStr">
        <is>
          <t>按同一次安排中的一个独立变体处理方案计费，包含核对、拆分、解绑、加入、重建及核验。基础金额只取适用最高档，不逐项累加。多个SKU共同组成同一变体算一个方案；互不相关的问题分别计费。跨多个父体完成同一次迁移或重组仍算一个方案。新品上架或其他异常处理已包含的相同工作不重复计费。</t>
        </is>
      </c>
      <c r="E14" s="61" t="inlineStr">
        <is>
          <t>一个站点、同一次安排中的一个独立处理方案；登记涉及的SKU、ASIN、原父体及目标父体。</t>
        </is>
      </c>
      <c r="F14" s="61" t="inlineStr">
        <is>
          <t>原关系清单、问题或修改依据、处理方案、执行记录及调整后关系清单。</t>
        </is>
      </c>
      <c r="G14" s="61" t="inlineStr">
        <is>
          <t>按确认方案完成关系及选项调整，核验父子对应、选项名称和展示结果；失败或待生效事项单独记录，重复提交及返工不新增金额。</t>
        </is>
      </c>
    </row>
    <row r="15" ht="300" customHeight="1" s="1">
      <c r="A15" s="60" t="inlineStr">
        <is>
          <t>Listing内容维护</t>
        </is>
      </c>
      <c r="B15" s="9" t="inlineStr">
        <is>
          <t>图片维护</t>
        </is>
      </c>
      <c r="C15" s="9" t="inlineStr">
        <is>
          <t>根据负责人提供的图片完成老Listing主图、辅图的上传、替换、删除和排序；根据Listing问题或优化要求更新产品图片</t>
        </is>
      </c>
      <c r="D15" s="61" t="inlineStr">
        <is>
          <t>取得可用图片后上传并核验；未取得图片标记“待图片”，暂停时限，齐备后恢复剩余时限。仅需协调取图的SKU用1.3。样品备货与拍摄协调另计独立任务；同一上传成果不重复计费。</t>
        </is>
      </c>
      <c r="E15" s="61" t="inlineStr">
        <is>
          <t>每个SKU：10元。
每个SKU上传自己的产品图片；不按批量降低金额。</t>
        </is>
      </c>
      <c r="F15" s="61" t="inlineStr">
        <is>
          <t>任务/OA编号、SKU或内容编号、执行记录及验收证据。</t>
        </is>
      </c>
      <c r="G15" s="61" t="inlineStr">
        <is>
          <t>按任务范围完成并核验，未完成事项与外部等待另行标记，不以提交代替完成。</t>
        </is>
      </c>
    </row>
    <row r="16" ht="300" customHeight="1" s="1">
      <c r="A16" s="60" t="inlineStr">
        <is>
          <t>价格管理</t>
        </is>
      </c>
      <c r="B16" s="9" t="inlineStr">
        <is>
          <t>价格调整</t>
        </is>
      </c>
      <c r="C16" s="9" t="inlineStr">
        <is>
          <t>按负责人提供的SKU及明确目标价格，修改适用价格字段并核验生效结果。</t>
        </is>
      </c>
      <c r="D16" s="61" t="inlineStr">
        <is>
          <t>按负责人提供的SKU及目标价格完成调整，并核验实际生效价格。同一次安排中的多个SKU，即使目标价格不同，仍按一个批次计费。OA拆成多条记录、分文件上传、失败重试不增加批次。原价格维护及单纯改价异常合并为本项；Buy Box异常处理已包含的改价不重复计费。</t>
        </is>
      </c>
      <c r="E16" s="61" t="inlineStr">
        <is>
          <t>同一次安排的一批改价任务。</t>
        </is>
      </c>
      <c r="F16" s="61" t="inlineStr">
        <is>
          <t>任务编号、SKU及目标价格清单、修改记录及生效核验结果。</t>
        </is>
      </c>
      <c r="G16" s="61" t="inlineStr">
        <is>
          <t>指定价格已正确调整并完成核验；失败、未生效或等待事项单独记录。</t>
        </is>
      </c>
    </row>
    <row r="17" ht="300" customHeight="1" s="1">
      <c r="A17" s="60" t="inlineStr">
        <is>
          <t>价格管理</t>
        </is>
      </c>
      <c r="B17" s="9" t="inlineStr">
        <is>
          <t>Buy Box异常处理</t>
        </is>
      </c>
      <c r="C17" s="9" t="inlineStr">
        <is>
          <t>核查对应商品售价及运费并保存截图，整理材料、开Case、按回复处理并跟进Buy Box状态。</t>
        </is>
      </c>
      <c r="D17" s="61" t="inlineStr">
        <is>
          <t>包含售价及运费核查、截图取证、材料整理、开Case及后续跟进。按站点＋ASIN＋同一异常识别任务，不按SKU、Case、重试次数或处理时长增加金额；已含改价不另计费。每个ASIN须记录处理及核验结果。恢复后核验验收；未恢复时凭证齐全并经负责人确认阶段结案可结算。处理中暂不结算，阶段结案后同一异常恢复不重复计费。本人责任纠错不另计酬，主动任务按适用倍率结算。</t>
        </is>
      </c>
      <c r="E17" s="61" t="inlineStr">
        <is>
          <t>15元/ASIN（基础金额）。同一站点、同一ASIN、同一原因的连续异常只计一次；同一ASIN对应多个SKU不重复计费。不同ASIN分别计费，即使共用证据或同一个Case，也按实际处理并逐个验收的ASIN数量计算。</t>
        </is>
      </c>
      <c r="F17" s="61" t="inlineStr">
        <is>
          <t>按ASIN记录站点、取证截图、Case编号或链接、平台最终回复及Buy Box核验结果；SKU仅作辅助关联。未恢复须附负责人阶段结案确认。</t>
        </is>
      </c>
      <c r="G17" s="61" t="inlineStr">
        <is>
          <t>工作完成状态与Buy Box结果分开记录。每个ASIN恢复后核验通过，或凭证齐全且负责人确认阶段结案后，按15元基础金额及适用倍率结算。同一站点同一ASIN同一异常只计一次；仍处理中暂不结算。</t>
        </is>
      </c>
    </row>
    <row r="18" ht="300" customHeight="1" s="1">
      <c r="A18" s="60" t="inlineStr">
        <is>
          <t>价格管理</t>
        </is>
      </c>
      <c r="B18" s="9" t="inlineStr">
        <is>
          <t>主动价格优化</t>
        </is>
      </c>
      <c r="C18" s="9" t="inlineStr">
        <is>
          <t>主动发现价格异常或价格机会，说明调整原因并完成相关价格字段修改</t>
        </is>
      </c>
      <c r="D18" s="61" t="inlineStr">
        <is>
          <t>本行为说明项，不产生独立计费。员工自主发现价格异常并完成修正时，使用"价格调整"的基础金额15元×难度系数×主动倍率1.5结算。负责人安排的改价直接按"价格调整"计任务金额。员工先提出建议、经负责人批准后执行，仍属主动；补建任务或认领变化不改变来源。</t>
        </is>
      </c>
      <c r="E18" s="61" t="inlineStr">
        <is>
          <t>一个站点的一项采纳方案及执行批次；登记SKU数量</t>
        </is>
      </c>
      <c r="F18" s="61" t="inlineStr">
        <is>
          <t>发现依据、调整建议及确认记录、执行清单、结果核验。</t>
        </is>
      </c>
      <c r="G18" s="61" t="inlineStr">
        <is>
          <t>说明问题或机会，方案经确认后正确执行；需复盘时约定观察期；同一问题的发现和执行按预定范围计一次。</t>
        </is>
      </c>
    </row>
    <row r="19" ht="300" customHeight="1" s="1">
      <c r="A19" s="60" t="inlineStr">
        <is>
          <t>促销管理</t>
        </is>
      </c>
      <c r="B19" s="9" t="inlineStr">
        <is>
          <t>Coupon与Promotion创建</t>
        </is>
      </c>
      <c r="C19" s="9" t="inlineStr">
        <is>
          <t>按负责人明确的优惠方案创建Coupon或Promotion，设置商品、优惠条件和活动时间，提交并核验。</t>
        </is>
      </c>
      <c r="D19" s="61" t="inlineStr">
        <is>
          <t>按明确优惠方案创建并核验；每个独立活动15元。创建或提报过程中的报错、参数修正、失败重试及重新提交，包含在原任务金额值内，不另计异常处理金额。修复本人操作造成的问题不新增金额。已上线活动后续出现新的独立问题，另行界定任务，不自动重复领取创建或提报分。</t>
        </is>
      </c>
      <c r="E19" s="61" t="inlineStr">
        <is>
          <t>每个实际独立创建的活动；记录活动编号及类型。</t>
        </is>
      </c>
      <c r="F19" s="61" t="inlineStr">
        <is>
          <t>活动编号、商品清单、优惠条件、时间、提交记录及核验结果。</t>
        </is>
      </c>
      <c r="G19" s="61" t="inlineStr">
        <is>
          <t>活动设置与任务要求一致；完成提交与结果核验，失败或待生效事项单独记录。</t>
        </is>
      </c>
    </row>
    <row r="20" ht="300" customHeight="1" s="1">
      <c r="A20" s="60" t="inlineStr">
        <is>
          <t>促销管理</t>
        </is>
      </c>
      <c r="B20" s="9" t="inlineStr">
        <is>
          <t>Deal活动提报</t>
        </is>
      </c>
      <c r="C20" s="9" t="inlineStr">
        <is>
          <t>按要求核对Deal商品资料及参数，完成提报并核验提交结果。</t>
        </is>
      </c>
      <c r="D20" s="61" t="inlineStr">
        <is>
          <t>创建或提报过程中的报错、参数修正、失败重试及重新提交，包含在原任务金额值内，不另计异常处理金额。修复本人操作造成的问题不新增金额。已上线活动后续出现新的独立问题，另行界定任务，不自动重复领取创建或提报分。</t>
        </is>
      </c>
      <c r="E20" s="61" t="inlineStr">
        <is>
          <t>每个实际独立提报的Deal：10元。
不按包含的SKU数量增加；5个独立Deal计50元。</t>
        </is>
      </c>
      <c r="F20" s="61" t="inlineStr">
        <is>
          <t>Deal编号、商品清单、参数及资料核对记录、提交结果和平台审批状态。</t>
        </is>
      </c>
      <c r="G20" s="61" t="inlineStr">
        <is>
          <t>资料及参数符合要求，完成提报及提交结果核验后计费。平台是否批准单独记录，不以审批通过作为唯一验收条件。</t>
        </is>
      </c>
    </row>
    <row r="21" ht="300" customHeight="1" s="1">
      <c r="A21" s="60" t="inlineStr">
        <is>
          <t>广告新建</t>
        </is>
      </c>
      <c r="B21" s="9" t="inlineStr">
        <is>
          <t>SP广告创建</t>
        </is>
      </c>
      <c r="C21" s="9" t="inlineStr">
        <is>
          <t>按任务要求创建SP Campaign，完成初始设置，并在Ads Change认领变化、创建或关联任务、填写创建原因。</t>
        </is>
      </c>
      <c r="D21" s="61"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计任务金额，自主发起只计主动改善金额，两者不叠加。 新建Campaign必要的命名和归组包含在创建金额中。</t>
        </is>
      </c>
      <c r="E21" s="61" t="inlineStr">
        <is>
          <t>每个独立Campaign计15元，不区分广告组、商品、目标、素材或落地页数量。</t>
        </is>
      </c>
      <c r="F21" s="61" t="inlineStr">
        <is>
          <t>广告账户及站点、Campaign ID、Ads Change记录、认领人、任务编号、创建原因及核验结果。</t>
        </is>
      </c>
      <c r="G21" s="61" t="inlineStr">
        <is>
          <t>Campaign创建及初始设置符合任务要求；完成变化认领、任务关联、原因填写和结果核验后计费。失败重试不新增创建金额。</t>
        </is>
      </c>
    </row>
    <row r="22" ht="300" customHeight="1" s="1">
      <c r="A22" s="60" t="inlineStr">
        <is>
          <t>广告新建</t>
        </is>
      </c>
      <c r="B22" s="9" t="inlineStr">
        <is>
          <t>SB广告创建</t>
        </is>
      </c>
      <c r="C22" s="9" t="inlineStr">
        <is>
          <t>按任务要求创建SB Campaign，完成初始设置，并在Ads Change认领变化、创建或关联任务、填写创建原因。</t>
        </is>
      </c>
      <c r="D22" s="61"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计任务金额，自主发起只计主动改善金额，两者不叠加。 SBV只按SBV项目计费，不再同时计SB创建金额。 新建Campaign必要的命名和归组包含在创建金额中。</t>
        </is>
      </c>
      <c r="E22" s="61" t="inlineStr">
        <is>
          <t>每个独立Campaign计20元，不区分广告组、商品、目标、素材或落地页数量。</t>
        </is>
      </c>
      <c r="F22" s="61" t="inlineStr">
        <is>
          <t>广告账户及站点、Campaign ID、Ads Change记录、认领人、任务编号、创建原因及核验结果。</t>
        </is>
      </c>
      <c r="G22" s="61" t="inlineStr">
        <is>
          <t>Campaign创建及初始设置符合任务要求；完成变化认领、任务关联、原因填写和结果核验后计费。失败重试不新增创建金额。</t>
        </is>
      </c>
    </row>
    <row r="23" ht="300" customHeight="1" s="1">
      <c r="A23" s="60" t="inlineStr">
        <is>
          <t>广告新建</t>
        </is>
      </c>
      <c r="B23" s="9" t="inlineStr">
        <is>
          <t>SBV广告创建</t>
        </is>
      </c>
      <c r="C23" s="9" t="inlineStr">
        <is>
          <t>按任务要求创建SBV Campaign，完成初始设置，并在Ads Change认领变化、创建或关联任务、填写创建原因。</t>
        </is>
      </c>
      <c r="D23" s="61"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计任务金额，自主发起只计主动改善金额，两者不叠加。 SBV只按SBV项目计费，不再同时计SB创建金额。 新建Campaign必要的命名和归组包含在创建金额中。</t>
        </is>
      </c>
      <c r="E23" s="61" t="inlineStr">
        <is>
          <t>每个独立Campaign计20元，不区分广告组、商品、目标、素材或落地页数量。</t>
        </is>
      </c>
      <c r="F23" s="61" t="inlineStr">
        <is>
          <t>广告账户及站点、Campaign ID、Ads Change记录、认领人、任务编号、创建原因及核验结果。</t>
        </is>
      </c>
      <c r="G23" s="61" t="inlineStr">
        <is>
          <t>Campaign创建及初始设置符合任务要求；完成变化认领、任务关联、原因填写和结果核验后计费。失败重试不新增创建金额。</t>
        </is>
      </c>
    </row>
    <row r="24" ht="300" customHeight="1" s="1">
      <c r="A24" s="60" t="inlineStr">
        <is>
          <t>广告新建</t>
        </is>
      </c>
      <c r="B24" s="9" t="inlineStr">
        <is>
          <t>SD广告创建</t>
        </is>
      </c>
      <c r="C24" s="9" t="inlineStr">
        <is>
          <t>按任务要求创建SD Campaign，完成初始设置，并在Ads Change认领变化、创建或关联任务、填写创建原因。</t>
        </is>
      </c>
      <c r="D24" s="61"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计任务金额，自主发起只计主动改善金额，两者不叠加。 新建Campaign必要的命名和归组包含在创建金额中。</t>
        </is>
      </c>
      <c r="E24" s="61" t="inlineStr">
        <is>
          <t>每个独立Campaign计20元，不区分广告组、商品、目标、素材或落地页数量。</t>
        </is>
      </c>
      <c r="F24" s="61" t="inlineStr">
        <is>
          <t>广告账户及站点、Campaign ID、Ads Change记录、认领人、任务编号、创建原因及核验结果。</t>
        </is>
      </c>
      <c r="G24" s="61" t="inlineStr">
        <is>
          <t>Campaign创建及初始设置符合任务要求；完成变化认领、任务关联、原因填写和结果核验后计费。失败重试不新增创建金额。</t>
        </is>
      </c>
    </row>
    <row r="25" ht="300" customHeight="1" s="1">
      <c r="A25" s="60" t="inlineStr">
        <is>
          <t>广告调整</t>
        </is>
      </c>
      <c r="B25" s="9" t="inlineStr">
        <is>
          <t>广告执行调整</t>
        </is>
      </c>
      <c r="C25" s="9" t="inlineStr">
        <is>
          <t>按指定要求执行关键词与搜索词调整、否定投放调整、广告产品归组与补充、ASIN与商品投放调整、Bid与投放位置调整。</t>
        </is>
      </c>
      <c r="D25" s="61" t="inlineStr">
        <is>
          <t>适用于负责人安排或员工自主发起、完成有效调整并核验的工作。以Campaign为计费单位，每个Campaign每次有效调整计10元。同一次调整包含多种动作（否定词＋Bid＋商品投放）合计只算1次。每个自然周（周一至周日）每个Campaign最多计2次，不同Campaign分别计费。负责人安排和员工主动执行合并统计，多人参与不增加次数。认领变化、关联任务、填写原因并核验。员工自主发起按正常金额×主动倍率计算，同一工作不重复计费。</t>
        </is>
      </c>
      <c r="E25" s="61" t="inlineStr">
        <is>
          <t>每个Campaign每次有效调整：10元。
每个自然周（周一至周日）每个Campaign最多计2次。
不同Campaign分别计费。</t>
        </is>
      </c>
      <c r="F25" s="61" t="inlineStr">
        <is>
          <t>负责人要求、任务编号、调整对象及涉及Campaign数量、Ads Change认领记录、原因及核验结果。</t>
        </is>
      </c>
      <c r="G25" s="61" t="inlineStr">
        <is>
          <t>具体调整完成并核验；以Campaign为单位按周统计。第二次计费须有第一次调整后的复查依据或新问题依据。自主发起按正常金额×主动倍率计算。</t>
        </is>
      </c>
    </row>
    <row r="26" ht="300" customHeight="1" s="1">
      <c r="A26" s="60" t="inlineStr">
        <is>
          <t>Listing与账号异常</t>
        </is>
      </c>
      <c r="B26" s="9" t="inlineStr">
        <is>
          <t>Listing异常申诉与Case处理</t>
        </is>
      </c>
      <c r="C26" s="9" t="inlineStr">
        <is>
          <t>对需要Appeal或Case解决的Listing异常，进行异常核查、材料整理、提交、回复跟进及逐ASIN结果核验。</t>
        </is>
      </c>
      <c r="D26" s="61" t="inlineStr">
        <is>
          <t>包含异常核查、材料整理、Appeal或Case提交、回复跟进及结果核验。同一ASIN同一异常的多次申诉、多个Case或补充材料合并计20元。合并在一个Case中的多个ASIN按个数计费，但须逐个记录处理结果。恢复后验收；未恢复时提交完整记录，经负责人确认阶段结案后计费，后续同一异常恢复不重复领取。已归Buy Box、滞留库存或变体关系维护的同一问题不叠加本项。负责人安排计任务金额，自主发起改善仅计主动金额。</t>
        </is>
      </c>
      <c r="E26" s="61" t="inlineStr">
        <is>
          <t>每个ASIN的一项独立异常处理：20元。
处理5个ASIN计100元；不再采用ASIN数量分档。
同一ASIN同一异常只计一次。</t>
        </is>
      </c>
      <c r="F26" s="61" t="inlineStr">
        <is>
          <t>站点、ASIN、独立异常说明、任务编号、Appeal或Case编号、材料及平台回复、逐ASIN结果和必要的阶段结案确认。</t>
        </is>
      </c>
      <c r="G26" s="61" t="inlineStr">
        <is>
          <t>逐个ASIN验收。已恢复的核验状态；未恢复的提交完整处理记录，经负责人确认阶段结案后计费，仍保留未恢复状态。同一异常后续恢复不重复计费。</t>
        </is>
      </c>
    </row>
    <row r="27" ht="300" customHeight="1" s="1">
      <c r="A27" s="60" t="inlineStr">
        <is>
          <t>Brand Store维护</t>
        </is>
      </c>
      <c r="B27" s="9" t="inlineStr">
        <is>
          <t>二级类目商品维护</t>
        </is>
      </c>
      <c r="C27" s="9" t="inlineStr">
        <is>
          <t>每个二级类目的一次商品更新：10元。
在原有模块内添加、删除或替换商品；不按SKU数量增加。</t>
        </is>
      </c>
      <c r="D27" s="61" t="inlineStr">
        <is>
          <t>按实际二级类目及一次安排计费，例如Motorized Ball Valve下的1/2英寸尺寸类目。记录类目路径和页面标识；同类目多商品更新合并一次，不按SKU数量增加金额。同一二级类目既改商品又重建模块，只计25元，不计35元。正常提交、反馈修正及核验包含在原任务中；本人本次操作导致的报错修复不新增金额。按发起来源选择任务金额或主动金额，不叠加。</t>
        </is>
      </c>
      <c r="E27" s="61" t="inlineStr">
        <is>
          <t>每个二级类目的一次商品更新：10元。
在原有模块内添加、删除或替换商品；不按SKU数量增加。</t>
        </is>
      </c>
      <c r="F27" s="61" t="inlineStr">
        <is>
          <t>任务编号、站点与店铺、二级类目完整路径、页面标识及前后对照；阻断处理另提供报错截图、修复位置和提交成功记录。</t>
        </is>
      </c>
      <c r="G27" s="61" t="inlineStr">
        <is>
          <t>完成本二级类目约定商品或模块更新、正常审核反馈处理及结果核验；同类目商品与模块配置不重复计费。</t>
        </is>
      </c>
    </row>
    <row r="28" ht="300" customHeight="1" s="1">
      <c r="A28" s="60" t="inlineStr">
        <is>
          <t>Brand Store维护</t>
        </is>
      </c>
      <c r="B28" s="9" t="inlineStr">
        <is>
          <t>二级类目模块新增或重建</t>
        </is>
      </c>
      <c r="C28" s="9" t="inlineStr">
        <is>
          <t>每个二级类目的一次模块新增、替换或重建：25元。
包含必要布局、商品配置及核验；不按模块数量增加。</t>
        </is>
      </c>
      <c r="D28" s="61" t="inlineStr">
        <is>
          <t>按实际二级类目及一次安排计费，例如Motorized Ball Valve下的1/2英寸尺寸类目。记录类目路径和页面标识；同类目多商品更新合并一次，不按SKU数量增加金额。同一二级类目既改商品又重建模块，只计25元，不计35元。正常提交、反馈修正及核验包含在原任务中；本人本次操作导致的报错修复不新增金额。按发起来源选择任务金额或主动金额，不叠加。</t>
        </is>
      </c>
      <c r="E28" s="61" t="inlineStr">
        <is>
          <t>每个二级类目的一次模块新增、替换或重建：25元。
包含必要布局、商品配置及核验；不按模块数量增加。</t>
        </is>
      </c>
      <c r="F28" s="61" t="inlineStr">
        <is>
          <t>任务编号、站点与店铺、二级类目完整路径、页面标识及前后对照；阻断处理另提供报错截图、修复位置和提交成功记录。</t>
        </is>
      </c>
      <c r="G28" s="61" t="inlineStr">
        <is>
          <t>完成本二级类目约定商品或模块更新、正常审核反馈处理及结果核验；同类目商品与模块配置不重复计费。</t>
        </is>
      </c>
    </row>
    <row r="29" ht="300" customHeight="1" s="1">
      <c r="A29" s="60" t="inlineStr">
        <is>
          <t>Brand Store维护</t>
        </is>
      </c>
      <c r="B29" s="9" t="inlineStr">
        <is>
          <t>提交阻断问题处理</t>
        </is>
      </c>
      <c r="C29" s="9" t="inlineStr">
        <is>
          <t>每次独立提交任务：15元。
仅限本次更新范围外其他板块的原有报错。</t>
        </is>
      </c>
      <c r="D29" s="61" t="inlineStr">
        <is>
          <t>仅处理本次更新范围之外、其他板块原有报错导致无法提交的问题。须保留报错截图、修复位置和提交成功记录。同一独立提交任务出现多个报错、反复尝试或涉及多个类目，只计一次15元，不按报错或类目数累加。本人本次更新造成的错误属于返工，不计本项。由同一人或不同人处理均按实际工作归属，不能重复领取。</t>
        </is>
      </c>
      <c r="E29" s="61" t="inlineStr">
        <is>
          <t>每次独立提交任务：15元。
仅限本次更新范围外其他板块的原有报错。</t>
        </is>
      </c>
      <c r="F29" s="61" t="inlineStr">
        <is>
          <t>任务编号、站点与店铺、二级类目完整路径、页面标识及前后对照；阻断处理另提供报错截图、修复位置和提交成功记录。</t>
        </is>
      </c>
      <c r="G29" s="61" t="inlineStr">
        <is>
          <t>范围外原有报错已修复，提交成功并记录结果后计15元；同次多个报错不重复计费。</t>
        </is>
      </c>
    </row>
    <row r="30" ht="300" customHeight="1" s="1">
      <c r="A30" s="60" t="inlineStr">
        <is>
          <t>Review、Feedback与客户声音</t>
        </is>
      </c>
      <c r="B30" s="9" t="inlineStr">
        <is>
          <t>VOC数据更新与AI分析</t>
        </is>
      </c>
      <c r="C30" s="9" t="inlineStr">
        <is>
          <t>每周下载数据并保存至数据库，运行AI分析、保存结果并完成基本核验。</t>
        </is>
      </c>
      <c r="D30" s="61" t="inlineStr">
        <is>
          <t>下载本周所需数据并记录期间；保存到数据库，核对导入成功、无明显遗漏或重复；运行AI分析，保存结果并检查是否正常生成及有无明显错误。同一周任务中的多次下载、分文件导入、AI重跑和失败重试合并计费。AI分析不等于员工独立业务分析；后续核实问题、形成建议或推动处理，按独立交付及发起来源另行认定，相同工作不重复计费。</t>
        </is>
      </c>
      <c r="E30" s="61" t="inlineStr">
        <is>
          <t>每周完成一次数据下载、数据库更新、AI分析及基本核验，计10元；不按数据条数分档。</t>
        </is>
      </c>
      <c r="F30" s="61" t="inlineStr">
        <is>
          <t>任务编号、数据期间、源文件、入库记录、AI分析结果及基本核验记录。</t>
        </is>
      </c>
      <c r="G30" s="61" t="inlineStr">
        <is>
          <t>本周数据已下载入库，导入成功且无明显遗漏或重复；AI结果正常生成并保存、无明显错误。只完成下载或只运行AI不算完整任务。</t>
        </is>
      </c>
    </row>
    <row r="31" ht="300" customHeight="1" s="1">
      <c r="A31" s="60" t="inlineStr">
        <is>
          <t>Review、Feedback与客户声音</t>
        </is>
      </c>
      <c r="B31" s="9" t="inlineStr">
        <is>
          <t>Listing问题处理</t>
        </is>
      </c>
      <c r="C31" s="9" t="inlineStr">
        <is>
          <t>根据系统分析结果，修改标题、五点、描述、Generic Keywords、图片、A+或视频，解决评论中发现的Listing问题</t>
        </is>
      </c>
      <c r="D31" s="61" t="inlineStr">
        <is>
          <t>本项作为VOC来源的任务入口；实际修改统一归Listing纠错、优化或素材维护，只保留一个主任务及关联编号。</t>
        </is>
      </c>
      <c r="E31" s="61" t="inlineStr">
        <is>
          <t>一张VOC关联的Listing问题单；登记ASIN和问题数量</t>
        </is>
      </c>
      <c r="F31" s="61" t="inlineStr">
        <is>
          <t>VOC问题与ASIN对应表、主任务编号、处理结论链接。</t>
        </is>
      </c>
      <c r="G31" s="61" t="inlineStr">
        <is>
          <t>问题已转为明确修改要求并关联主任务；实际成果按主任务验收，本入口不另加一次完成量或金额。</t>
        </is>
      </c>
    </row>
    <row r="32" ht="300" customHeight="1" s="1">
      <c r="A32" s="60" t="inlineStr">
        <is>
          <t>Review、Feedback与客户声音</t>
        </is>
      </c>
      <c r="B32" s="9" t="inlineStr">
        <is>
          <t>产品质量问题反馈</t>
        </is>
      </c>
      <c r="C32" s="9" t="inlineStr">
        <is>
          <t>根据系统识别出的质量、功能、尺寸、安装、包装等问题，与产品负责人沟通并跟进处理</t>
        </is>
      </c>
      <c r="D32" s="61" t="inlineStr">
        <is>
          <t>负责将VOC产品问题转给产品负责人并跟进约定节点；同一问题与售后反馈合并；不将产品开发执行计为运营成果。</t>
        </is>
      </c>
      <c r="E32" s="61" t="inlineStr">
        <is>
          <t>一张独立产品问题单；登记产品、问题类型和关联证据数量</t>
        </is>
      </c>
      <c r="F32" s="61" t="inlineStr">
        <is>
          <t>问题证据、影响范围、接收负责人、接收或反馈记录和下一节点。</t>
        </is>
      </c>
      <c r="G32" s="61" t="inlineStr">
        <is>
          <t>反馈信息足以支持判断，责任人已接收并明确处理安排；需持续跟进时完成约定节点，同一问题不按评论条数重复计。</t>
        </is>
      </c>
    </row>
    <row r="33" ht="300" customHeight="1" s="1">
      <c r="A33" s="60" t="inlineStr">
        <is>
          <t>库存与配送</t>
        </is>
      </c>
      <c r="B33" s="9" t="inlineStr">
        <is>
          <t>FBA货件问题处理</t>
        </is>
      </c>
      <c r="C33" s="9" t="inlineStr">
        <is>
          <t>查看FBA货件问题并核对情况，按实际情况接受或选择不接受并提交Appeal，完成处理记录。</t>
        </is>
      </c>
      <c r="D33" s="61" t="inlineStr">
        <is>
          <t>每个货件的同一问题计5元。同一货件、同一问题后续查看、重复提交及跟进不重复计费。不以Appeal成功为计费条件。</t>
        </is>
      </c>
      <c r="E33" s="61" t="inlineStr">
        <is>
          <t>每个货件的同一问题计5元。</t>
        </is>
      </c>
      <c r="F33" s="61" t="inlineStr">
        <is>
          <t>任务编号、处理对象及执行结果记录</t>
        </is>
      </c>
      <c r="G33" s="61" t="inlineStr">
        <is>
          <t>完成问题查看、核对及处理操作（接受或提交Appeal），处理记录已保存并核验提交状态。同一货件同一问题不重复计费。</t>
        </is>
      </c>
    </row>
    <row r="34" ht="300" customHeight="1" s="1">
      <c r="A34" s="60" t="inlineStr">
        <is>
          <t>库存与配送</t>
        </is>
      </c>
      <c r="B34" s="9" t="inlineStr">
        <is>
          <t>库存冗余折扣上传</t>
        </is>
      </c>
      <c r="C34" s="9" t="inlineStr">
        <is>
          <t>根据程序提供的SKU及折扣方案，完成折扣文件上传，检查处理结果并修正报错。</t>
        </is>
      </c>
      <c r="D34" s="61" t="inlineStr">
        <is>
          <t>同一批拆成多个文件、重复上传或重试不重复计费。不要求员工分析冗余原因或制定折扣方案，不以库存最终售出作为完成条件。与价格调整或促销创建属于同一次交付的，只结算一次。</t>
        </is>
      </c>
      <c r="E34" s="61" t="inlineStr">
        <is>
          <t>同一次安排的一批上传任务计10元，不按SKU数量增加。</t>
        </is>
      </c>
      <c r="F34" s="61" t="inlineStr">
        <is>
          <t>任务编号、处理对象及执行结果记录</t>
        </is>
      </c>
      <c r="G34" s="61" t="inlineStr">
        <is>
          <t>文件上传完成，处理结果已检查，报错已修正并确认生效；同一批次交付记录完整。</t>
        </is>
      </c>
    </row>
    <row r="35" ht="300" customHeight="1" s="1">
      <c r="A35" s="60" t="inlineStr">
        <is>
          <t>库存管理</t>
        </is>
      </c>
      <c r="B35" s="9" t="inlineStr">
        <is>
          <t>滞留库存—移除库存</t>
        </is>
      </c>
      <c r="C35" s="9" t="inlineStr">
        <is>
          <t>成功创建移除订单，核对SKU、数量及处理方式，保存订单编号。</t>
        </is>
      </c>
      <c r="D35" s="61" t="inlineStr">
        <is>
          <t>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计任务金额，员工自主发起计主动改善金额，二者不叠加。</t>
        </is>
      </c>
      <c r="E35" s="61" t="inlineStr">
        <is>
          <t>每批10元，不按SKU数量增加。</t>
        </is>
      </c>
      <c r="F35" s="61" t="inlineStr">
        <is>
          <t>SKU、原因、处理方式及相应订单／Case／资料记录</t>
        </is>
      </c>
      <c r="G35" s="61" t="inlineStr">
        <is>
          <t>成功创建移除订单，核对SKU、数量及处理方式，保存订单编号。</t>
        </is>
      </c>
    </row>
    <row r="36" ht="300" customHeight="1" s="1">
      <c r="A36" s="60" t="inlineStr">
        <is>
          <t>库存管理</t>
        </is>
      </c>
      <c r="B36" s="9" t="inlineStr">
        <is>
          <t>滞留库存—Relist重新发布</t>
        </is>
      </c>
      <c r="C36" s="9" t="inlineStr">
        <is>
          <t>完成重新发布，核验发布结果及滞留状态，保留处理记录。</t>
        </is>
      </c>
      <c r="D36" s="61" t="inlineStr">
        <is>
          <t>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计任务金额，员工自主发起计主动改善金额，二者不叠加。</t>
        </is>
      </c>
      <c r="E36" s="61" t="inlineStr">
        <is>
          <t>每批10元，不按SKU数量增加。</t>
        </is>
      </c>
      <c r="F36" s="61" t="inlineStr">
        <is>
          <t>SKU、原因、处理方式及相应订单／Case／资料记录</t>
        </is>
      </c>
      <c r="G36" s="61" t="inlineStr">
        <is>
          <t>完成重新发布，核验发布结果及滞留状态，保留处理记录。</t>
        </is>
      </c>
    </row>
    <row r="37" ht="300" customHeight="1" s="1">
      <c r="A37" s="60" t="inlineStr">
        <is>
          <t>库存管理</t>
        </is>
      </c>
      <c r="B37" s="9" t="inlineStr">
        <is>
          <t>滞留库存—申诉或Case处理</t>
        </is>
      </c>
      <c r="C37" s="9" t="inlineStr">
        <is>
          <t>核对原因、提交申诉或Case并跟进；问题解决，或材料及处理记录完整、由负责人确认阶段结案。</t>
        </is>
      </c>
      <c r="D37" s="61" t="inlineStr">
        <is>
          <t>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计任务金额，员工自主发起计主动改善金额，二者不叠加。</t>
        </is>
      </c>
      <c r="E37" s="61" t="inlineStr">
        <is>
          <t>每个独立问题15元，不按Case或提交次数增加。</t>
        </is>
      </c>
      <c r="F37" s="61" t="inlineStr">
        <is>
          <t>SKU、原因、处理方式及相应订单／Case／资料记录</t>
        </is>
      </c>
      <c r="G37" s="61" t="inlineStr">
        <is>
          <t>核对原因、提交申诉或Case并跟进；问题解决，或材料及处理记录完整、由负责人确认阶段结案。</t>
        </is>
      </c>
    </row>
    <row r="38" ht="300" customHeight="1" s="1">
      <c r="A38" s="60" t="inlineStr">
        <is>
          <t>库存管理</t>
        </is>
      </c>
      <c r="B38" s="9" t="inlineStr">
        <is>
          <t>滞留库存—已有电池／化学品资料提交</t>
        </is>
      </c>
      <c r="C38" s="9" t="inlineStr">
        <is>
          <t>核对资料与SKU的对应关系，提交并跟进审核结果，保存资料版本及处理记录。</t>
        </is>
      </c>
      <c r="D38" s="61" t="inlineStr">
        <is>
          <t>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计任务金额，员工自主发起计主动改善金额，二者不叠加。</t>
        </is>
      </c>
      <c r="E38" s="61" t="inlineStr">
        <is>
          <t>使用已有完整资料完成一批提交，计10元。</t>
        </is>
      </c>
      <c r="F38" s="61" t="inlineStr">
        <is>
          <t>SKU、原因、处理方式及相应订单／Case／资料记录</t>
        </is>
      </c>
      <c r="G38" s="61" t="inlineStr">
        <is>
          <t>核对资料与SKU的对应关系，提交并跟进审核结果，保存资料版本及处理记录。</t>
        </is>
      </c>
    </row>
    <row r="39" ht="300" customHeight="1" s="1">
      <c r="A39" s="60" t="inlineStr">
        <is>
          <t>库存管理</t>
        </is>
      </c>
      <c r="B39" s="9" t="inlineStr">
        <is>
          <t>滞留库存—电池／化学品资料协调与提交</t>
        </is>
      </c>
      <c r="C39" s="9" t="inlineStr">
        <is>
          <t>协调取得可用资料，核对SKU对应关系，完成提交并跟进审核结果；已包含资料提交，不另增加金额。</t>
        </is>
      </c>
      <c r="D39" s="61" t="inlineStr">
        <is>
          <t>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计任务金额，员工自主发起计主动改善金额，二者不叠加。</t>
        </is>
      </c>
      <c r="E39" s="61" t="inlineStr">
        <is>
          <t>需协调获取资料、核对并完成一批提交，计10元。</t>
        </is>
      </c>
      <c r="F39" s="61" t="inlineStr">
        <is>
          <t>SKU、原因、处理方式及相应订单／Case／资料记录</t>
        </is>
      </c>
      <c r="G39" s="61" t="inlineStr">
        <is>
          <t>协调取得可用资料，核对SKU对应关系，完成提交并跟进审核结果；已包含资料提交，不另增加金额。</t>
        </is>
      </c>
    </row>
    <row r="40" ht="300" customHeight="1" s="1">
      <c r="A40" s="60" t="inlineStr">
        <is>
          <t>数据与报表</t>
        </is>
      </c>
      <c r="B40" s="9" t="inlineStr">
        <is>
          <t>Category Report下载</t>
        </is>
      </c>
      <c r="C40" s="9" t="inlineStr">
        <is>
          <t>按要求每天下载、归档并核验，每周合并结算。</t>
        </is>
      </c>
      <c r="D40" s="61" t="inlineStr">
        <is>
          <t>固定例行工作，主动倍率×1。按天核验，按周结算。因假期、系统故障等不可控原因未下载的天数不计入应完成天数。同一天多次下载合并计费。</t>
        </is>
      </c>
      <c r="E40" s="61" t="inlineStr">
        <is>
          <t>金额＝5元×合格完成天数÷当周应完成天数。
当周无任务则不计费。</t>
        </is>
      </c>
      <c r="F40" s="61" t="inlineStr">
        <is>
          <t>每天下载文件、归档记录及核验结果。</t>
        </is>
      </c>
      <c r="G40" s="61" t="inlineStr">
        <is>
          <t>每天按时下载、归档并核验；按周统计合格完成天数，计算当周金额。</t>
        </is>
      </c>
    </row>
    <row r="41" ht="300" customHeight="1" s="1">
      <c r="A41" s="60" t="inlineStr">
        <is>
          <t>数据与报表</t>
        </is>
      </c>
      <c r="B41" s="9" t="inlineStr">
        <is>
          <t>关键词市场占有率统计及竞品检查</t>
        </is>
      </c>
      <c r="C41" s="9" t="inlineStr">
        <is>
          <t>按要求完成关键词的市场占有率数据统计及竞品检查。</t>
        </is>
      </c>
      <c r="D41" s="61" t="inlineStr">
        <is>
          <t>每个关键词每月结算一次。同一关键词同一月份不重复计费。数据采集、统计、竞品检查及结果记录包含在金额内。</t>
        </is>
      </c>
      <c r="E41" s="61" t="inlineStr">
        <is>
          <t>每个关键词每月：10元。
不按数据条数分档。</t>
        </is>
      </c>
      <c r="F41" s="61" t="inlineStr">
        <is>
          <t>关键词、数据期间、统计结果及竞品检查记录。</t>
        </is>
      </c>
      <c r="G41" s="61" t="inlineStr">
        <is>
          <t>完成指定关键词的市场占有率统计及竞品检查，结果记录完整并核验。</t>
        </is>
      </c>
    </row>
    <row r="42" ht="300" customHeight="1" s="1">
      <c r="A42" s="60" t="inlineStr">
        <is>
          <t>跨站点执行</t>
        </is>
      </c>
      <c r="B42" s="9" t="inlineStr">
        <is>
          <t>跨站点Listing创建</t>
        </is>
      </c>
      <c r="C42" s="9" t="inlineStr">
        <is>
          <t>将已有站点的商品信息翻译后在新站点创建Listing，完成SKU、价格、库存和配送方式设置。</t>
        </is>
      </c>
      <c r="D42" s="61" t="inlineStr">
        <is>
          <t>按目标站点计费，每个目标站点视为一个独立上架执行组。执行标准与US站Listing创建一致（含基础金额和难度系数）。不同站点分别计费；同一目标站点的同一次上架，只选一个上架项目计费。
上架基础金额包含：到后台下载对应模板，将别人提供的文案用Codex改写、核对并填入表格，设置商品及变体，上传、处理报错并核验；不再叠加标题、五点、描述等编写金额。只有员工需要独立研究产品、构思卖点并交付原创文案时，才按对应文案项目另计。产品资料额外核实、独立图片/A+策划按各自交付计费；相同工作不重复。</t>
        </is>
      </c>
      <c r="E42" s="61" t="inlineStr">
        <is>
          <t>按目标站点分别计算上架执行组，与US站相同规则：
1个SKU：25元；2个及以上可共用上架表：40元。
各站点独立计费，再乘难度系数。</t>
        </is>
      </c>
      <c r="F42" s="61" t="inlineStr">
        <is>
          <t>上架清单、翻译记录、上传文件、父子关系及核验结果。</t>
        </is>
      </c>
      <c r="G42" s="61" t="inlineStr">
        <is>
          <t>按US站Listing创建标准验收。目标站点Listing创建结果核验完成。不同站点分别计费。</t>
        </is>
      </c>
    </row>
    <row r="43" ht="300" customHeight="1" s="1">
      <c r="A43" s="60" t="inlineStr">
        <is>
          <t>跨站点执行</t>
        </is>
      </c>
      <c r="B43" s="9" t="inlineStr">
        <is>
          <t>A+翻译后发布（非新策划）</t>
        </is>
      </c>
      <c r="C43" s="9" t="inlineStr">
        <is>
          <t>将已有A+内容翻译为目标站点语言，提交发布并核验。</t>
        </is>
      </c>
      <c r="D43" s="61" t="inlineStr">
        <is>
          <t>与全新制作A+（75元/份）区分：本项为已有A+的翻译发布。同一次安排、同一份原A+内容为一批，不按站点数量或SKU数量累加。不同原A+内容分别计费。同一批翻译发布拆文件、重复提交不增加批次。</t>
        </is>
      </c>
      <c r="E43" s="61" t="inlineStr">
        <is>
          <t>每批翻译后发布：10元。
同一次安排、同一份原A+内容为一批；
不同原A+内容分别计费。</t>
        </is>
      </c>
      <c r="F43" s="61" t="inlineStr">
        <is>
          <t>原A+内容编号、翻译记录、提交结果及核验记录。</t>
        </is>
      </c>
      <c r="G43" s="61" t="inlineStr">
        <is>
          <t>翻译后A+已发布并核验。同一批翻译不重复计费。</t>
        </is>
      </c>
    </row>
    <row r="44" ht="300" customHeight="1" s="1">
      <c r="A44" s="60" t="inlineStr">
        <is>
          <t>跨站点执行</t>
        </is>
      </c>
      <c r="B44" s="9" t="inlineStr">
        <is>
          <t>翻译后批量更新Listing文案</t>
        </is>
      </c>
      <c r="C44" s="9" t="inlineStr">
        <is>
          <t>已提供文案，翻译后批量更新标题、五点、描述等。</t>
        </is>
      </c>
      <c r="D44" s="61" t="inlineStr">
        <is>
          <t>与独立重写区分：本项为已有文案的翻译更新。同一批翻译更新拆文件、重复上传不增加批次。</t>
        </is>
      </c>
      <c r="E44" s="61" t="inlineStr">
        <is>
          <t>每批翻译更新：10元。
按同一次安排的一批任务计费。</t>
        </is>
      </c>
      <c r="F44" s="61" t="inlineStr">
        <is>
          <t>文案来源、翻译记录、上传结果及核验记录。</t>
        </is>
      </c>
      <c r="G44" s="61" t="inlineStr">
        <is>
          <t>翻译文案已更新并核验。同一批不重复计费。</t>
        </is>
      </c>
    </row>
    <row r="45" ht="420" customHeight="1" s="1">
      <c r="A45" s="60" t="inlineStr">
        <is>
          <t>新品开发</t>
        </is>
      </c>
      <c r="B45" s="9" t="inlineStr">
        <is>
          <t>市场调研与产品建议</t>
        </is>
      </c>
      <c r="C45" s="9" t="inlineStr">
        <is>
          <t>分析竞品、需求、价格区间、关键规格、客户反馈及初步利润空间，提出产品建议和风险判断。数据注明来源、期间及估算口径。</t>
        </is>
      </c>
      <c r="D45" s="61" t="inlineStr">
        <is>
          <t>调研完整且结论有依据，经负责人确认。无需凑固定竞品数量；结论为不建议开发时，已完成且通过验收的调研照常计费。
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E45" s="61" t="inlineStr">
        <is>
          <t>75元/独立开发项目的本阶段交付；同系列共用调研或厂家方案只计一次，不按SKU数累加。</t>
        </is>
      </c>
      <c r="F45" s="61" t="inlineStr">
        <is>
          <t>调研报告、数据来源、初步利润测算和开发建议。</t>
        </is>
      </c>
      <c r="G45" s="61" t="inlineStr">
        <is>
          <t>调研完整且结论有依据，经负责人确认。无需凑固定竞品数量；结论为不建议开发时，已完成且通过验收的调研照常计费。</t>
        </is>
      </c>
    </row>
    <row r="46" ht="420" customHeight="1" s="1">
      <c r="A46" s="60" t="inlineStr">
        <is>
          <t>新品开发</t>
        </is>
      </c>
      <c r="B46" s="9" t="inlineStr">
        <is>
          <t>厂家筛选、报价与合作条件确认</t>
        </is>
      </c>
      <c r="C46" s="9" t="inlineStr">
        <is>
          <t>寻找并核实匹配的厂家，比较有效报价、MOQ、交期、包装及定制条件，确认关键费用、供货能力和合作限制，提出选择建议。</t>
        </is>
      </c>
      <c r="D46" s="61" t="inlineStr">
        <is>
          <t>关键合作条件清楚且有记录，经负责人确认。按完整找厂与条件确认交付计费，不按联系次数或报价份数计；无合适厂家时须提供完整调查结论并经负责人确认结案。
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E46" s="61" t="inlineStr">
        <is>
          <t>75元/独立开发项目的本阶段交付；同系列共用调研或厂家方案只计一次，不按SKU数累加。</t>
        </is>
      </c>
      <c r="F46" s="61" t="inlineStr">
        <is>
          <t>厂家比较表、有效报价、条件确认记录及推荐结论。</t>
        </is>
      </c>
      <c r="G46" s="61" t="inlineStr">
        <is>
          <t>关键合作条件清楚且有记录，经负责人确认。按完整找厂与条件确认交付计费，不按联系次数或报价份数计；无合适厂家时须提供完整调查结论并经负责人确认结案。</t>
        </is>
      </c>
    </row>
    <row r="47" ht="420" customHeight="1" s="1">
      <c r="A47" s="3" t="inlineStr">
        <is>
          <t>新品开发</t>
        </is>
      </c>
      <c r="B47" s="3" t="inlineStr">
        <is>
          <t>样品评估及问题跟进</t>
        </is>
      </c>
      <c r="C47" s="3" t="inlineStr">
        <is>
          <t>按事先确认的验证要求完成样品检查或协调测试，记录问题、跟进整改及复测，形成通过、修改或停止结论。</t>
        </is>
      </c>
      <c r="D47" s="3" t="inlineStr">
        <is>
          <t>形成可供决策的验证结论并经负责人验收；继续修改中不自动结案。同一轮原问题补测、整改、催办合并计费；新增独立验证范围须事先确认，不按每次样品到货计75元。
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E47" s="3" t="inlineStr">
        <is>
          <t>75元/事先约定的独立样品验证任务；同一验证方案内的不同参数检查、原问题整改及复测合并。不因样品或SKU数量增加而自动增加任务数。</t>
        </is>
      </c>
      <c r="F47" s="3" t="inlineStr">
        <is>
          <t>验证范围、样品及测试记录、问题清单、整改结果和确认结论。</t>
        </is>
      </c>
      <c r="G47" s="3" t="inlineStr">
        <is>
          <t>形成可供决策的验证结论并经负责人验收；继续修改中不自动结案。同一轮原问题补测、整改、催办合并计费；新增独立验证范围须事先确认，不按每次样品到货计75元。</t>
        </is>
      </c>
    </row>
    <row r="48" ht="420" customHeight="1" s="1">
      <c r="A48" s="3" t="inlineStr">
        <is>
          <t>新品开发与内容准备</t>
        </is>
      </c>
      <c r="B48" s="3" t="inlineStr">
        <is>
          <t>产品资料整理与确认</t>
        </is>
      </c>
      <c r="C48" s="3" t="inlineStr">
        <is>
          <t>整理规格、功能、卖点依据、适用场景及包装清单，向厂家确认缺失或矛盾信息，形成可供内容编写使用的事实资料。</t>
        </is>
      </c>
      <c r="D48" s="3" t="inlineStr">
        <is>
          <t>主动核实产品规格、功能、使用方式、限制、卖点依据及包装内容，向厂家解决缺失或矛盾信息，形成经确认的可用事实资料。已有完整资料仅汇总、复制或直接使用不计本项。调研、找厂、样品任务已交付的相同资料不再计40元；只有额外核实、补全且独立验收的资料工作才计。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E48" s="3" t="inlineStr">
        <is>
          <t>40元／独立产品资料套。</t>
        </is>
      </c>
      <c r="F48" s="3" t="inlineStr">
        <is>
          <t>确认后的资料表、厂家确认记录、信息来源及版本。</t>
        </is>
      </c>
      <c r="G48" s="3" t="inlineStr">
        <is>
          <t>资料准确完整，经负责人确认可用于内容编写。已有完整资料无需重新整理时不计本项；不重复计入找厂、样品评估等任务已包含的相同交付。</t>
        </is>
      </c>
    </row>
    <row r="49" ht="420" customHeight="1" s="1">
      <c r="A49" s="3" t="inlineStr">
        <is>
          <t>新品开发与内容准备</t>
        </is>
      </c>
      <c r="B49" s="3" t="inlineStr">
        <is>
          <t>产品图片策划</t>
        </is>
      </c>
      <c r="C49" s="3" t="inlineStr">
        <is>
          <t>构思产品主图及辅图，明确每张图的展示内容、卖点、参数和文字，提供参考及美工制作要求，跟进修改并核验成图。</t>
        </is>
      </c>
      <c r="D49" s="3" t="inlineStr">
        <is>
          <t>明确主图和辅图各自展示内容、卖点、参数、文案及参考，提出美工制作要求，跟进修改并核验成图。同一方案多SKU共用只计一次50元；同轮沟通、修改及核验均包含。实际拍摄和修图不属于本人任务。图片上传另按10元/SKU；A+素材策划已含A+75元，相同交付不再计本项。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E49" s="3" t="inlineStr">
        <is>
          <t>50元／独立产品图片方案，不按图片张数累加。</t>
        </is>
      </c>
      <c r="F49" s="3" t="inlineStr">
        <is>
          <t>图片方案、逐图说明、文案及参考、美工交付图片和核验记录。</t>
        </is>
      </c>
      <c r="G49" s="3" t="inlineStr">
        <is>
          <t>方案明确且成图符合确认要求；同轮沟通、修改、核验均包含。实际拍摄、修图不属于本人工作；图片上传另按现有规则。A+内素材策划已含A+分，不再计本项。</t>
        </is>
      </c>
    </row>
    <row r="50" ht="420" customHeight="1" s="1">
      <c r="A50" s="3" t="inlineStr">
        <is>
          <t>新品开发与内容准备</t>
        </is>
      </c>
      <c r="B50" s="3" t="inlineStr">
        <is>
          <t>视频字幕文案编写</t>
        </is>
      </c>
      <c r="C50" s="3" t="inlineStr">
        <is>
          <t>根据已明确的视频内容编写字幕，核对产品参数及表述，并对应视频段落或时间位置，交付可使用的定稿。</t>
        </is>
      </c>
      <c r="D50" s="3" t="inlineStr">
        <is>
          <t>理解产品和视频内容，编写准确且与画面对应的字幕，核对参数及表述，提供段落或时间对应并交付经确认的可用定稿。不包含完整视频脚本策划、拍摄、剪辑。直接使用已有字幕不计编写金额；同稿反复修改不另计，视频上传另按原规则。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E50" s="3" t="inlineStr">
        <is>
          <t>25元／独立视频字幕稿。</t>
        </is>
      </c>
      <c r="F50" s="3" t="inlineStr">
        <is>
          <t>对应视频／内容编号、字幕定稿、段落或时间对应、核验及确认记录。</t>
        </is>
      </c>
      <c r="G50" s="3" t="inlineStr">
        <is>
          <t>字幕准确、与视频匹配且经确认可使用；不包含完整视频脚本策划、拍摄、剪辑。已有字幕直接使用不计编写金额；同稿反复修改不另计，视频上传另按原规则。</t>
        </is>
      </c>
    </row>
    <row r="51" ht="320" customHeight="1" s="1">
      <c r="A51" s="3" t="inlineStr">
        <is>
          <t>数据与经营分析</t>
        </is>
      </c>
      <c r="B51" s="3" t="inlineStr">
        <is>
          <t>利润或亏损原因分析与优化建议</t>
        </is>
      </c>
      <c r="C51" s="3" t="inlineStr">
        <is>
          <t>核查收入、售价与折扣、采购成本、运输及平台费用、广告、退货损失等相关因素，明确利润口径及对比期间，找出主要变化原因。必须给出有依据的优化建议，说明建议动作、预期作用、优先级及必要验证；不要求建议已执行或利润已改善。</t>
        </is>
      </c>
      <c r="D51" s="3" t="inlineStr">
        <is>
          <t>按需指派，不设固定频次。完整分析30元；有数据证据但关键判断未核实，经负责人确认按初步成果结案计15元；仅转发报表或AI原文、无证据或无具体建议，退回补充，暂不结算。初步15元后补成完整分析只补15元，同一任务累计基础金额30元。不以篇幅长短判定；关键数据不可得须说明原因，不自动减半。独立分析与后续独立执行分别验收，相同分析若已包含在其他任务中不重复计酬。同一范围及期间的销量、利润和活动分析使用同一交付时只选一项，不按报告名称重复计费。本人责任纠错不另计酬。负责人安排倍率1；自主发起按未明确项目暂为1，不自行套用高倍率。</t>
        </is>
      </c>
      <c r="E51" s="3" t="inlineStr">
        <is>
          <t>同一站点、一个ASIN、同一次独立利润问题分析：完整30元，初步15元。多个SKU对应同一ASIN不重复计费；多个ASIN共用同一份分析合并，分别独立分析并验收才分别计费。</t>
        </is>
      </c>
      <c r="F51" s="3" t="inlineStr">
        <is>
          <t>数据来源与期间、利润测算口径、变化拆解、原因证据、优化建议及负责人验收。</t>
        </is>
      </c>
      <c r="G51" s="3" t="inlineStr">
        <is>
          <t>核实数据，提交原因判断、证据和可执行建议，经负责人按完整或初步档位验收。</t>
        </is>
      </c>
    </row>
    <row r="52" ht="320" customHeight="1" s="1">
      <c r="A52" s="3" t="inlineStr">
        <is>
          <t>数据与经营分析</t>
        </is>
      </c>
      <c r="B52" s="3" t="inlineStr">
        <is>
          <t>活动效果复盘</t>
        </is>
      </c>
      <c r="C52" s="3" t="inlineStr">
        <is>
          <t>对比活动前、活动期间及适当的后续期间，核查销量、流量、转化、优惠成本、活动费用、广告投入、利润及库存变化。记录同期价格、断货及其他促销影响，不将销售增长直接等同活动增量。给出继续、调整或停止建议及证据。</t>
        </is>
      </c>
      <c r="D52" s="3" t="inlineStr">
        <is>
          <t>按需指派，不设固定频次。完整分析30元；有数据证据但关键判断未核实，经负责人确认按初步成果结案计15元；仅转发报表或AI原文、无证据或无具体建议，退回补充，暂不结算。初步15元后补成完整分析只补15元，同一任务累计基础金额30元。不以篇幅长短判定；关键数据不可得须说明原因，不自动减半。独立分析与后续独立执行分别验收，相同分析若已包含在其他任务中不重复计酬。同一范围及期间的销量、利润和活动分析使用同一交付时只选一项，不按报告名称重复计费。本人责任纠错不另计酬。负责人安排倍率1；自主发起按未明确项目暂为1，不自行套用高倍率。</t>
        </is>
      </c>
      <c r="E52" s="3" t="inlineStr">
        <is>
          <t>同一站点、一个独立Coupon／Promotion／Deal活动、一次完整复盘：30元；初步15元。活动包含多个ASIN仍按一份复盘计费；若同一方案的多个活动共用一份报告，合并计费。</t>
        </is>
      </c>
      <c r="F52" s="3" t="inlineStr">
        <is>
          <t>活动ID、站点和ASIN范围、对比期间与数据来源、成本收益口径、同期影响因素、分析结论及后续建议。</t>
        </is>
      </c>
      <c r="G52" s="3" t="inlineStr">
        <is>
          <t>核实数据，提交原因判断、证据和可执行建议，经负责人按完整或初步档位验收。</t>
        </is>
      </c>
    </row>
    <row r="53" ht="320" customHeight="1" s="1">
      <c r="A53" s="0" t="inlineStr">
        <is>
          <t>费用与异常处理</t>
        </is>
      </c>
      <c r="B53" s="0" t="inlineStr">
        <is>
          <t>费用异常核查与Case申诉</t>
        </is>
      </c>
      <c r="C53" s="0" t="inlineStr">
        <is>
          <t>核对实际收费与对应商品尺寸、重量、适用计费依据或交易记录，整理费用差异及证据，提交Case并跟进回复、补充资料及核验处理结果。适用于商品尺寸重量引起的费用疑问或其他收费异常；不包含普通FBA货件问题。</t>
        </is>
      </c>
      <c r="D53" s="0" t="inlineStr">
        <is>
          <t>包含异常核查、差额计算、证据整理、Case提交及补充跟进，不另叠加利润分析或Listing异常处理的相同交付。平台是否退款／更正与任务完成分别记录；处理完成并核验，或证据及回复完整且负责人确认阶段结案后计酬。仍处理中暂不结算，同一问题阶段结案后恢复或到账不重复计费。不以退款金额或催办次数加价。本人责任纠错不另计酬。负责人安排倍率1；主动发现并完成处理，按异常处理主动倍率1.5，即30元。</t>
        </is>
      </c>
      <c r="E53" s="0" t="inlineStr">
        <is>
          <t>20元/独立费用问题（含核查、证据整理、开Case及跟进）。同站点、同类收费原因且共用证据与处理过程的对象合并；不按ASIN、SKU、收费记录或Case数量累加。</t>
        </is>
      </c>
      <c r="F53" s="0" t="inlineStr">
        <is>
          <t>费用类型、涉及商品或交易、实际收费及依据、证据、Case编号、最终回复、费用更正／退款核验或负责人阶段结案记录。</t>
        </is>
      </c>
      <c r="G53" s="0" t="inlineStr">
        <is>
          <t>处理结果核验完成，或凭证齐全且负责人确认阶段结案。</t>
        </is>
      </c>
    </row>
    <row r="54" ht="360" customHeight="1" s="1">
      <c r="A54" s="0" t="inlineStr">
        <is>
          <t>品牌保护</t>
        </is>
      </c>
      <c r="B54" s="0" t="inlineStr">
        <is>
          <t>跟卖监控</t>
        </is>
      </c>
      <c r="C54" s="0" t="inlineStr">
        <is>
          <t>按要求检查指定ASIN的其他报价及卖家变化，记录时间、ASIN、卖家标识、价格及可获得证据，发现疑似异常及时报告。</t>
        </is>
      </c>
      <c r="D54" s="0" t="inlineStr">
        <is>
          <t>固定监控倍率1；程序自动监控且无需人工核验不计人工任务金额。未发现异常但完成约定核验仍可验收。监控记录与后续独立取证投诉可分别计费，同一发现不额外领取发现费。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E54" s="0" t="inlineStr">
        <is>
          <t>5元/站点/约定监控清单/自然周。按完成的约定检查次数÷应检查次数折算；当周无任务为0。不得拆清单提高金额。</t>
        </is>
      </c>
      <c r="F54" s="0" t="inlineStr">
        <is>
          <t>清单、应查及实查记录、异常及通知记录。</t>
        </is>
      </c>
      <c r="G54" s="0" t="inlineStr">
        <is>
          <t>按周验收，无异常也可完成；本周全部检查完成5元。</t>
        </is>
      </c>
    </row>
    <row r="55" ht="360" customHeight="1" s="1">
      <c r="A55" s="0" t="inlineStr">
        <is>
          <t>品牌保护</t>
        </is>
      </c>
      <c r="B55" s="0" t="inlineStr">
        <is>
          <t>跟卖取证与举报／Case处理</t>
        </is>
      </c>
      <c r="C55" s="0" t="inlineStr">
        <is>
          <t>核实疑似违规；确需Test Buy时经负责人确认采购及预算，跟进收货、保留订单与实物照片并核对差异。依据证据选择亚马逊举报、Case或Brand Registry适用渠道，跟进处理及报价状态。</t>
        </is>
      </c>
      <c r="D55" s="0" t="inlineStr">
        <is>
          <t>站点＋被举报卖家＋同一违规事实及共用证据为案件范围；多ASIN共用证据处理时合并，多渠道或多Case不累加。存在其他报价不等于违规；不以未获品牌授权直接认定假货，不提交无依据投诉。下架后核验，或调查及跟进完整、负责人确认阶段结案后计酬；未下架不自动判定未完成。Test Buy未发现违规时提交证据与不投诉结论，可按实际取证范围由负责人结案，确已完成完整Test Buy调查可计50元。样品购买不叠加样品备货协调分；同一交付不叠加Buy Box或Listing申诉。主动发现并完成案件处理倍率1.5；仅例行监控后按既定职责处理，按正常履职确认来源。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E55" s="0" t="inlineStr">
        <is>
          <t>已有有效证据，完成核查、举报／Case及跟进：30元/独立案件；另需完成Test Buy取证全过程：整案50元。两档只取最高，先结30元后补足最多20元。</t>
        </is>
      </c>
      <c r="F55" s="0" t="inlineStr">
        <is>
          <t>案件编号、卖家及ASIN、订单/收货证据、差异判断、投诉依据、Case与回复、状态核验及结案确认。</t>
        </is>
      </c>
      <c r="G55" s="0" t="inlineStr">
        <is>
          <t>多渠道反复投诉仍30元；独立完成Test Buy取证及案件处理50元。实际货款运费另行处理。</t>
        </is>
      </c>
    </row>
    <row r="56" ht="360" customHeight="1" s="1">
      <c r="A56" s="0" t="inlineStr">
        <is>
          <t>品牌项目</t>
        </is>
      </c>
      <c r="B56" s="0" t="inlineStr">
        <is>
          <t>Vine报名与跟进</t>
        </is>
      </c>
      <c r="C56" s="0" t="inlineStr">
        <is>
          <t>核对参与资格、商品、库存、报名数量及费用，按确认方案报名，核验提交结果并记录约定跟进节点的领取和评论状态。</t>
        </is>
      </c>
      <c r="D56" s="0" t="inlineStr">
        <is>
          <t>首次资格核查、报名、常规修正和约定节点跟进合并15元；派单时约定验收节点，不逐周重复收费。不以好评、星级或评论必然产生作为验收条件，不要求员工干预评论。平台报名费及赠送商品成本不含任务金额。早期评论人计划已停止，不设该项目任务。自主发起仍按未明确项目倍率1，后续另定不自动套高倍率。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E56" s="0" t="inlineStr">
        <is>
          <t>15元/独立Vine报名项目。以后台报名记录去重，不按子SKU、领取件数或评论数量累加。</t>
        </is>
      </c>
      <c r="F56" s="0" t="inlineStr">
        <is>
          <t>报名ID、商品范围、费用确认、报名结果、约定节点状态及负责人验收。</t>
        </is>
      </c>
      <c r="G56" s="0" t="inlineStr">
        <is>
          <t>一个报名项目覆盖多个子SKU：15元；同一报名重复查看或修改不新增报酬。</t>
        </is>
      </c>
    </row>
    <row r="57" ht="360" customHeight="1" s="1">
      <c r="A57" s="0" t="inlineStr">
        <is>
          <t>品牌内容</t>
        </is>
      </c>
      <c r="B57" s="0" t="inlineStr">
        <is>
          <t>Brand Story品牌故事制作与维护</t>
        </is>
      </c>
      <c r="C57" s="0" t="inlineStr">
        <is>
          <t>构思品牌故事、文案及图片要求，协调制作，设置卡片和链接、提交并核验；或按确认范围修改现有内容、维护ASIN绑定。</t>
        </is>
      </c>
      <c r="D57" s="0" t="inlineStr">
        <is>
          <t>新建75元含策划、制作跟进、发布及首次绑定；同一内容多ASIN共用只计一次。局部修改不按卡片数量累加。新建或重做不叠加局部修改；同一份内容不再领取A+制作/修改或相同素材图片策划金额。不同的产品A+与品牌故事确有独立交付时可分别验收。自主实质重做有证据方案且完成复盘适用内容重写倍率2；自主局部维护或绑定倍率1.5；首次制作按发布核验，后续优化按复盘规则。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E57" s="0" t="inlineStr">
        <is>
          <t>全新策划或完全重做：75元/独立内容；局部修改：10元/同份同轮；仅为已有内容新增绑定：5元/ASIN。</t>
        </is>
      </c>
      <c r="F57" s="0" t="inlineStr">
        <is>
          <t>内容ID、方案/修改前后记录、素材、链接及绑定范围、发布核验；优化另附原因和复盘。</t>
        </is>
      </c>
      <c r="G57" s="0" t="inlineStr">
        <is>
          <t>同份品牌故事应用20个ASIN，新建合计75元；后续独立绑定3个ASIN计15元。</t>
        </is>
      </c>
    </row>
    <row r="58" ht="360" customHeight="1" s="1">
      <c r="A58" s="0" t="inlineStr">
        <is>
          <t>订阅销售</t>
        </is>
      </c>
      <c r="B58" s="0" t="inlineStr">
        <is>
          <t>Subscribe &amp; Save设置与管理</t>
        </is>
      </c>
      <c r="C58" s="0" t="inlineStr">
        <is>
          <t>核对后台可参与商品及资格，按负责人确认方案加入或退出商品、设置或调整订阅优惠，并核验参与状态、折扣及生效情况。</t>
        </is>
      </c>
      <c r="D58" s="0" t="inlineStr">
        <is>
          <t>不按SKU、订阅订单或设置次数累加；不把平台自动加入、自动折扣或无需人工的变化当作任务。默认按确认方案执行；员工主动发现独立机会并完成，经认定可按促销执行倍率1.5。设置已含的参数修正不另计，不与同一价格或促销交付重复计费。不以产生订阅订单作为执行验收条件。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E58" s="0" t="inlineStr">
        <is>
          <t>同次安排、同站点、同一订阅方案的一批设置或更新：10元。包含多个ASIN或多个调整动作仍计一次。</t>
        </is>
      </c>
      <c r="F58" s="0" t="inlineStr">
        <is>
          <t>方案与费用/折扣确认、商品清单、修改记录和状态核验。</t>
        </is>
      </c>
      <c r="G58" s="0" t="inlineStr">
        <is>
          <t>同批10个ASIN加入并设折扣：10元；主动任务符合1.5倍时15元。</t>
        </is>
      </c>
    </row>
    <row r="59" ht="360" customHeight="1" s="1">
      <c r="A59" s="0" t="inlineStr">
        <is>
          <t>组合销售</t>
        </is>
      </c>
      <c r="B59" s="0" t="inlineStr">
        <is>
          <t>Virtual Bundle创建与维护</t>
        </is>
      </c>
      <c r="C59" s="0" t="inlineStr">
        <is>
          <t>核对后台资格及组成商品，按确认组合填写文案、图片、价格等可编辑资料，创建并核验；维护时按后台实际允许的字段更新及核验。</t>
        </is>
      </c>
      <c r="D59" s="0" t="inlineStr">
        <is>
          <t>新建包含初始配置、提交、常规报错修正及核验，不再叠加普通Listing创建、初始文案填入或图片上传。需要独立原创内容或素材策划且不属创建中已有资料改写时，按对应独立交付验收，相同工作只计一次。FBA虚拟组合不计重新包装或实物发货任务。不得通过重复建立相同组合、删后重建或拆分任务增加金额；后台不允许编辑的组成变更须先确认方案。主动专项倍率暂按未明确项目1。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E59" s="0" t="inlineStr">
        <is>
          <t>新建：25元/独立虚拟捆绑商品；已有捆绑同轮内容或可编辑设置维护：10元/个。</t>
        </is>
      </c>
      <c r="F59" s="0" t="inlineStr">
        <is>
          <t>捆绑ID、组成ASIN、价格及方案确认、内容记录、创建或更新结果核验。</t>
        </is>
      </c>
      <c r="G59" s="0" t="inlineStr">
        <is>
          <t>新建1个虚拟组合25元；同组合本轮改标题和价格合计10元；新建时这些初始配置不另加10元。</t>
        </is>
      </c>
    </row>
    <row r="61" ht="60" customHeight="1" s="1">
      <c r="A61" s="133" t="inlineStr">
        <is>
          <t>项目状态与规则来源（核对日期2026-09-08；参与资格以目标站点后台为准，任务金额为内部建议，并非亚马逊收费标准）。早期评论人计划已停止，仅保留Vine。</t>
        </is>
      </c>
    </row>
    <row r="62" ht="65" customHeight="1" s="1">
      <c r="A62" s="133" t="inlineStr">
        <is>
          <t>早期评论人计划停止公告</t>
        </is>
      </c>
      <c r="B62" s="133" t="inlineStr">
        <is>
          <t>https://sellercentral.amazon.com/seller-forums/discussions/t/2bb2eaeec50cbc448f676c1a6f000ff9</t>
        </is>
      </c>
    </row>
    <row r="63" ht="65" customHeight="1" s="1">
      <c r="A63" s="133" t="inlineStr">
        <is>
          <t>Vine</t>
        </is>
      </c>
      <c r="B63" s="133" t="inlineStr">
        <is>
          <t>https://sell.amazon.com/programs/vine</t>
        </is>
      </c>
    </row>
    <row r="64" ht="65" customHeight="1" s="1">
      <c r="A64" s="133" t="inlineStr">
        <is>
          <t>Subscribe &amp; Save</t>
        </is>
      </c>
      <c r="B64" s="133" t="inlineStr">
        <is>
          <t>https://sell.amazon.com/programs/subscribe-and-save/</t>
        </is>
      </c>
    </row>
    <row r="65" ht="65" customHeight="1" s="1">
      <c r="A65" s="133" t="inlineStr">
        <is>
          <t>Virtual Bundles</t>
        </is>
      </c>
      <c r="B65" s="133" t="inlineStr">
        <is>
          <t>https://sell.amazon.com/blog/product-bundling</t>
        </is>
      </c>
    </row>
    <row r="66" ht="65" customHeight="1" s="1">
      <c r="A66" s="133" t="inlineStr">
        <is>
          <t>品牌故事</t>
        </is>
      </c>
      <c r="B66" s="133" t="inlineStr">
        <is>
          <t>https://sell.amazon.com/tools/a-content</t>
        </is>
      </c>
    </row>
    <row r="67" ht="65" customHeight="1" s="1">
      <c r="A67" s="133" t="inlineStr">
        <is>
          <t>品牌保护与Test Buy</t>
        </is>
      </c>
      <c r="B67" s="133" t="inlineStr">
        <is>
          <t>https://sell.amazon.com/brand-registry/project-zero/</t>
        </is>
      </c>
    </row>
    <row r="68" ht="65" customHeight="1" s="1">
      <c r="A68" s="133" t="inlineStr">
        <is>
          <t>正品转售说明</t>
        </is>
      </c>
      <c r="B68" s="133" t="inlineStr">
        <is>
          <t>https://sell.amazon.com/blog/sell-branded-products-on-amazon</t>
        </is>
      </c>
    </row>
  </sheetData>
  <mergeCells count="1">
    <mergeCell ref="A61:G6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101"/>
  <sheetViews>
    <sheetView showGridLines="0" workbookViewId="0">
      <pane xSplit="2" ySplit="7" topLeftCell="C8" activePane="bottomRight" state="frozen"/>
      <selection activeCell="A1" sqref="A1"/>
    </sheetView>
  </sheetViews>
  <sheetFormatPr baseColWidth="8" defaultColWidth="9" defaultRowHeight="12.35000038146973"/>
  <cols>
    <col width="18" customWidth="1" style="42" min="1" max="1"/>
    <col width="27" customWidth="1" style="42" min="2" max="2"/>
    <col width="17" customWidth="1" style="42" min="3" max="3"/>
    <col width="13" customWidth="1" style="42" min="4" max="4"/>
    <col width="48" customWidth="1" style="42" min="5" max="5"/>
    <col width="45" customWidth="1" style="42" min="6" max="6"/>
    <col width="23" customWidth="1" style="42" min="7" max="7"/>
    <col width="65" customWidth="1" style="42" min="8" max="8"/>
    <col width="52" customWidth="1" style="42" min="9" max="9"/>
    <col width="10" customWidth="1" style="42" min="10" max="11"/>
    <col width="9" customWidth="1" style="42" min="12" max="16384"/>
  </cols>
  <sheetData>
    <row r="1">
      <c r="A1" s="43" t="n"/>
      <c r="B1" s="43" t="n"/>
      <c r="C1" s="43" t="n"/>
      <c r="D1" s="43" t="n"/>
      <c r="E1" s="43" t="n"/>
      <c r="F1" s="43" t="n"/>
      <c r="G1" s="43" t="n"/>
      <c r="H1" s="43" t="n"/>
    </row>
    <row r="2">
      <c r="A2" s="44" t="inlineStr">
        <is>
          <t>亚马逊运营与新品开发任务绩效金额标准</t>
        </is>
      </c>
      <c r="B2" s="43" t="n"/>
      <c r="C2" s="43" t="n"/>
      <c r="D2" s="43" t="n"/>
      <c r="E2" s="43" t="n"/>
      <c r="F2" s="43" t="n"/>
      <c r="G2" s="43" t="n"/>
      <c r="H2" s="43" t="n"/>
    </row>
    <row r="3">
      <c r="A3" s="45" t="inlineStr">
        <is>
          <t>本表直接以人民币元计价，无需再换算积分。C列为单个计费单位的默认基础金额；按E列确定实际累计基础金额，选择难度系数及适用主动倍率。G列仅展示默认单位金额，未乘主动倍率。</t>
        </is>
      </c>
      <c r="B3" s="43" t="n"/>
      <c r="C3" s="43" t="n"/>
      <c r="D3" s="43" t="n"/>
      <c r="E3" s="43" t="n"/>
      <c r="F3" s="43" t="n"/>
      <c r="G3" s="43" t="n"/>
      <c r="H3" s="43" t="n"/>
    </row>
    <row r="4">
      <c r="A4" s="45" t="inlineStr">
        <is>
          <t>各项目按自身计费单位结算：上架按执行组，图片按SKU，五点按套，A+按内容份数或绑定SKU，视频按视频及绑定批次。完整案例见“场景示例”；优化要求见“优化登记与复盘规则”。</t>
        </is>
      </c>
      <c r="B4" s="43" t="n"/>
      <c r="C4" s="43" t="n"/>
      <c r="D4" s="43" t="n"/>
      <c r="E4" s="43" t="n"/>
      <c r="F4" s="43" t="n"/>
      <c r="G4" s="43" t="n"/>
      <c r="H4" s="43" t="n"/>
    </row>
    <row r="5">
      <c r="A5" s="45" t="inlineStr">
        <is>
          <t>任务金额＝累计基础金额×难度系数×适用主动倍率，保留2位小数；每项任务只结算一次。月度任务绩效＝OA已验收任务金额＋Streamlit已验收主动任务金额＋当月核定成果奖励。同一任务跨两处记录须去重。成果奖按“改善成果奖励”页结算，不乘难度或主动倍率。 本人责任纠错不另计任务报酬、主动加成或成果奖励；以操作时确认资料和执行记录判定，详见“优化登记与复盘规则”责任纠错部分。</t>
        </is>
      </c>
      <c r="B5" s="43" t="n"/>
      <c r="C5" s="43" t="n"/>
      <c r="D5" s="43" t="n"/>
      <c r="E5" s="43" t="n"/>
      <c r="F5" s="43" t="n"/>
      <c r="G5" s="43" t="n"/>
      <c r="H5" s="43" t="n"/>
    </row>
    <row r="6">
      <c r="A6" s="45" t="inlineStr">
        <is>
          <t>上架执行组＝同一次安排、同一执行人、同一站点、能共用一张上架表的SKU集合。OA仍一条一个SKU，以组编号关联。难度按本次需处理关系的不同父体数判断；详见"场景示例"。跨站点上架按目标站点分别计算执行组（CA、MX、BR等各自独立）。</t>
        </is>
      </c>
      <c r="B6" s="43" t="n"/>
      <c r="C6" s="43" t="n"/>
      <c r="D6" s="43" t="n"/>
      <c r="E6" s="43" t="n"/>
      <c r="F6" s="43" t="n"/>
      <c r="G6" s="43" t="n"/>
      <c r="H6" s="43" t="n"/>
    </row>
    <row r="7" ht="44" customHeight="1" s="1">
      <c r="A7" s="8" t="inlineStr">
        <is>
          <t>一级模块</t>
        </is>
      </c>
      <c r="B7" s="8" t="inlineStr">
        <is>
          <t>工作项目</t>
        </is>
      </c>
      <c r="C7" s="8" t="inlineStr">
        <is>
          <t>基础金额（元）</t>
        </is>
      </c>
      <c r="D7" s="8" t="inlineStr">
        <is>
          <t>难度系数</t>
        </is>
      </c>
      <c r="E7" s="8" t="inlineStr">
        <is>
          <t>基础金额及计费单位</t>
        </is>
      </c>
      <c r="F7" s="8" t="inlineStr">
        <is>
          <t>难度系数等级</t>
        </is>
      </c>
      <c r="G7" s="8" t="inlineStr">
        <is>
          <t>默认示例金额（元）</t>
        </is>
      </c>
      <c r="H7" s="8" t="inlineStr">
        <is>
          <t>验收与防重复规则</t>
        </is>
      </c>
      <c r="I7" s="3" t="inlineStr">
        <is>
          <t>场景示例</t>
        </is>
      </c>
    </row>
    <row r="8" ht="330" customHeight="1" s="1">
      <c r="A8" s="9" t="inlineStr">
        <is>
          <t>新品上架</t>
        </is>
      </c>
      <c r="B8" s="9" t="inlineStr">
        <is>
          <t>Listing创建</t>
        </is>
      </c>
      <c r="C8" s="113" t="n">
        <v>25</v>
      </c>
      <c r="D8" s="82" t="n">
        <v>1</v>
      </c>
      <c r="E8" s="9" t="inlineStr">
        <is>
          <t>1个SKU：25元
2个及以上SKU，可共用一张上架表：40元
不能共用上架表：分别分组，每组按上述两档计费
同一表内不再按SKU数量递增金额</t>
        </is>
      </c>
      <c r="F8" s="9" t="inlineStr">
        <is>
          <t>1.0：本组不新增或调整任何父子关系
1.3：本组需处理父子关系，仅涉及1个父体（新建或已有均可）
1.6：本组需处理父子关系，涉及2个及以上不同父体
混合独立SKU和变体SKU时，只统计本次需处理关系的父体数</t>
        </is>
      </c>
      <c r="G8" s="115">
        <f>ROUND(C8*D8,2)</f>
        <v/>
      </c>
      <c r="H8" s="9" t="inlineStr">
        <is>
          <t>上架执行组：同次安排、同一执行人、同站点、可共用一张上架表。每条OA关联组编号。创建人、时间及序号只作候选线索；父体数量去重统计，同一父体多个子SKU只计1个父体。虚拟父体记录不计商品SKU。
上架基础金额包含：到后台下载对应模板，将别人提供的文案用Codex改写、核对并填入表格，设置商品及变体，上传、处理报错并核验；不再叠加标题、五点、描述等编写金额。只有员工需要独立研究产品、构思卖点并交付原创文案时，才按对应文案项目另计。产品资料额外核实、独立图片/A+策划按各自交付计费；相同工作不重复。</t>
        </is>
      </c>
      <c r="I8" s="3" t="n"/>
    </row>
    <row r="9" ht="330" customHeight="1" s="1">
      <c r="A9" s="9" t="inlineStr">
        <is>
          <t>新品上架</t>
        </is>
      </c>
      <c r="B9" s="9" t="inlineStr">
        <is>
          <t>图片上传维护</t>
        </is>
      </c>
      <c r="C9" s="113" t="n">
        <v>10</v>
      </c>
      <c r="D9" s="82" t="n">
        <v>1</v>
      </c>
      <c r="E9" s="9" t="inlineStr">
        <is>
          <t>每个SKU：10元。
每个SKU上传自己的产品图片；不按批量降低金额。</t>
        </is>
      </c>
      <c r="F9" s="9" t="inlineStr">
        <is>
          <t>1.0：OA有完整可用图片；或独立样品备货与拍摄协调任务已交付图片。
1.3：OA缺图，需联系产品负责人获取、确认并跟进图片。
等待时间长短不增加系数。</t>
        </is>
      </c>
      <c r="G9" s="115">
        <f>ROUND(C9*D9,2)</f>
        <v/>
      </c>
      <c r="H9" s="9" t="inlineStr">
        <is>
          <t>取得可用图片后上传并核验；未取得图片标记“待图片”，暂停时限，齐备后恢复剩余时限。仅需协调取图的SKU用1.3。样品备货与拍摄协调另计独立任务；同一上传成果不重复计费。</t>
        </is>
      </c>
      <c r="I9" s="3" t="inlineStr">
        <is>
          <t>1个SKU有图：10元；5个SKU有图：50元。
5个SKU均需向负责人取图：65元。</t>
        </is>
      </c>
    </row>
    <row r="10" ht="330" customHeight="1" s="1">
      <c r="A10" s="9" t="inlineStr">
        <is>
          <t>产品素材准备</t>
        </is>
      </c>
      <c r="B10" s="9" t="inlineStr">
        <is>
          <t>样品备货与拍摄协调</t>
        </is>
      </c>
      <c r="C10" s="113" t="n">
        <v>25</v>
      </c>
      <c r="D10" s="82" t="n">
        <v>1</v>
      </c>
      <c r="E10" s="9" t="inlineStr">
        <is>
          <t>完成创建备货计划、到货跟进、交接美工拍照、核对并取得可用图片，计25元/完整任务。
各环节合并计费，不按阶段拆分。</t>
        </is>
      </c>
      <c r="F10" s="9" t="inlineStr">
        <is>
          <t>固定1.0；每个完整任务25元，不另加难度系数。</t>
        </is>
      </c>
      <c r="G10" s="115">
        <f>ROUND(C10*D10,2)</f>
        <v/>
      </c>
      <c r="H10" s="9" t="inlineStr">
        <is>
          <t>员工负责创建备货计划、跟进到货、交接美工拍摄及核对收图；系统审核、专人采购、美工拍摄。同一次安排覆盖多个SKU只计一次25元，不按SKU数量、催办次数或等待时长增加金额。核对并取得可用图片后验收；图片上传另按10元/SKU计费，实际采购、拍照、设计及修图不属于本项员工执行范围。</t>
        </is>
      </c>
      <c r="I10" s="3" t="inlineStr">
        <is>
          <t>1个SKU完整任务25元＋上传10元＝35元。
10个不同SKU共用完整任务25元＋上传100元＝125元。</t>
        </is>
      </c>
    </row>
    <row r="11" ht="330" customHeight="1" s="1">
      <c r="A11" s="9" t="inlineStr">
        <is>
          <t>新品上架</t>
        </is>
      </c>
      <c r="B11" s="9" t="inlineStr">
        <is>
          <t>A+制作发布</t>
        </is>
      </c>
      <c r="C11" s="113" t="n">
        <v>75</v>
      </c>
      <c r="D11" s="82" t="n">
        <v>1</v>
      </c>
      <c r="E11" s="9" t="inlineStr">
        <is>
          <t>加入已有A+：5元/SKU。
新建或完全重做A+：75元/独立内容。
共用同一份只计一次；不同内容按实际份数相加。</t>
        </is>
      </c>
      <c r="F11" s="9" t="inlineStr">
        <is>
          <t>固定1.0；按计费单位累计，不另加难度系数。</t>
        </is>
      </c>
      <c r="G11" s="115">
        <f>ROUND(C11*D11,2)</f>
        <v/>
      </c>
      <c r="H11" s="9" t="inlineStr">
        <is>
          <t>独立新建或完全重做A+为75元/份，包含产品卖点理解、页面构思、文案、美工制作要求、制作跟进、成品核验、发布及首次SKU绑定，不再叠加A+策划金额或相同素材的图片策划金额。同份内容多SKU共用只计一次，不按绑定数增加制作金额。后续独立绑定任务5元/SKU，局部修改按同份同轮10元；翻译发布已有内容按翻译项目。同一份完整A+只在两个A+制作项目中选择一项计费。首次制作发布核验后验收；已有内容实质优化重做还须完成复盘。</t>
        </is>
      </c>
      <c r="I11" s="3" t="inlineStr">
        <is>
          <t>5个SKU加入已有A+：25元；共用1份新A+：75元；分别制作5份：375元。</t>
        </is>
      </c>
    </row>
    <row r="12" ht="330" customHeight="1" s="1">
      <c r="A12" s="9" t="inlineStr">
        <is>
          <t>新品上架</t>
        </is>
      </c>
      <c r="B12" s="9" t="inlineStr">
        <is>
          <t>视频上传与信息维护</t>
        </is>
      </c>
      <c r="C12" s="113" t="n">
        <v>15</v>
      </c>
      <c r="D12" s="82" t="n">
        <v>1</v>
      </c>
      <c r="E12" s="9" t="inlineStr">
        <is>
          <t>修改标题等信息：5元/视频/轮。
上传或替换视频：15元/独立视频，含标题、首次ASIN绑定及核验。
已有视频添加ASIN：同视频同批次，1个SKU对应的ASIN计5元，2个及以上计10元；不同视频分别计算。</t>
        </is>
      </c>
      <c r="F12" s="9" t="inlineStr">
        <is>
          <t>固定1.0；按视频及操作类型计费。</t>
        </is>
      </c>
      <c r="G12" s="115">
        <f>ROUND(C12*D12,2)</f>
        <v/>
      </c>
      <c r="H12" s="9" t="inlineStr">
        <is>
          <t>同一视频同一轮，上传或替换已包含标题填写及首次ASIN绑定，不再叠加。已有视频同时修改标题并新增ASIN，可分别计标题修改与绑定金额。上传失败重试、重复上传同一文件、修复本人错误不新增金额。拍摄与剪辑不含在本项。</t>
        </is>
      </c>
      <c r="I12" s="3" t="inlineStr">
        <is>
          <t>改1个视频标题：5元。
共用1个新视频：15元。
5个ASIN加入同一已有视频：10元。
已有视频改标题并新增5个ASIN：15元。</t>
        </is>
      </c>
    </row>
    <row r="13" ht="330" customFormat="1" customHeight="1" s="41">
      <c r="A13" s="9" t="inlineStr">
        <is>
          <t>Listing内容维护</t>
        </is>
      </c>
      <c r="B13" s="9" t="inlineStr">
        <is>
          <t>Listing纠错</t>
        </is>
      </c>
      <c r="C13" s="113" t="n">
        <v>10</v>
      </c>
      <c r="D13" s="82" t="n">
        <v>1</v>
      </c>
      <c r="E13" s="9" t="inlineStr">
        <is>
          <t>每个独立错误点：10元。
同一错误在多个位置重复出现，合并为1个错误点。</t>
        </is>
      </c>
      <c r="F13" s="9" t="inlineStr">
        <is>
          <t>固定1.0；按计费单位累计，不另加难度系数。</t>
        </is>
      </c>
      <c r="G13" s="115">
        <f>ROUND(C13*D13,2)</f>
        <v/>
      </c>
      <c r="H13" s="9" t="inlineStr">
        <is>
          <t>每次必须检查标题、五点、描述、A+、主图及视频，缺少该模块标记“不适用”。发现的错误全部修正并核验后验收；检查包含在纠错金额中。修复自己造成的错误不新增金额。同一纠错成果不再计图片、A+或视频修改分。</t>
        </is>
      </c>
      <c r="I13" s="3" t="inlineStr">
        <is>
          <t>同一电压错误出现在标题、A+和视频：全部修正，共10元。
电压、尺寸、材质3个独立错误：30元。</t>
        </is>
      </c>
    </row>
    <row r="14" ht="420" customHeight="1" s="1">
      <c r="A14" s="9" t="inlineStr">
        <is>
          <t>Listing内容维护</t>
        </is>
      </c>
      <c r="B14" s="9" t="inlineStr">
        <is>
          <t>标题编写与优化</t>
        </is>
      </c>
      <c r="C14" s="113" t="n">
        <v>10</v>
      </c>
      <c r="D14" s="82" t="n">
        <v>1</v>
      </c>
      <c r="E14" s="9" t="inlineStr">
        <is>
          <t>每个Listing标题：10元。</t>
        </is>
      </c>
      <c r="F14" s="9" t="inlineStr">
        <is>
          <t>固定1.0；按计费单位累计，不另加难度系数。</t>
        </is>
      </c>
      <c r="G14" s="115">
        <f>ROUND(C14*D14,2)</f>
        <v/>
      </c>
      <c r="H14" s="9"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I14" s="3" t="inlineStr">
        <is>
          <t>1个Listing标题有效重写并完成复盘：10元。</t>
        </is>
      </c>
    </row>
    <row r="15" ht="420" customHeight="1" s="1">
      <c r="A15" s="9" t="inlineStr">
        <is>
          <t>Listing内容维护</t>
        </is>
      </c>
      <c r="B15" s="9" t="inlineStr">
        <is>
          <t>五点编写与优化</t>
        </is>
      </c>
      <c r="C15" s="113" t="n">
        <v>15</v>
      </c>
      <c r="D15" s="82" t="n">
        <v>1</v>
      </c>
      <c r="E15" s="9" t="inlineStr">
        <is>
          <t>每个Listing的一套五点：15元。首次编写一套计15元；后续同轮改1点、几点或全部五点均计15元，不按条数累加。</t>
        </is>
      </c>
      <c r="F15" s="9" t="inlineStr">
        <is>
          <t>固定1.0；按计费单位累计，不另加难度系数。</t>
        </is>
      </c>
      <c r="G15" s="115">
        <f>ROUND(C15*D15,2)</f>
        <v/>
      </c>
      <c r="H15" s="9"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I15" s="3" t="inlineStr">
        <is>
          <t>重写1点：15元；重写全部五点：仍为15元。</t>
        </is>
      </c>
    </row>
    <row r="16" ht="420" customHeight="1" s="1">
      <c r="A16" s="9" t="inlineStr">
        <is>
          <t>Listing内容维护</t>
        </is>
      </c>
      <c r="B16" s="9" t="inlineStr">
        <is>
          <t>描述编写与优化</t>
        </is>
      </c>
      <c r="C16" s="113" t="n">
        <v>15</v>
      </c>
      <c r="D16" s="82" t="n">
        <v>1</v>
      </c>
      <c r="E16" s="9" t="inlineStr">
        <is>
          <t>每个Listing的一份描述：15元。</t>
        </is>
      </c>
      <c r="F16" s="9" t="inlineStr">
        <is>
          <t>固定1.0；按计费单位累计，不另加难度系数。</t>
        </is>
      </c>
      <c r="G16" s="115">
        <f>ROUND(C16*D16,2)</f>
        <v/>
      </c>
      <c r="H16" s="9"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I16" s="3" t="inlineStr">
        <is>
          <t>1份描述有效重写并完成复盘：15元。</t>
        </is>
      </c>
    </row>
    <row r="17" ht="420" customHeight="1" s="1">
      <c r="A17" s="9" t="inlineStr">
        <is>
          <t>Listing内容维护</t>
        </is>
      </c>
      <c r="B17" s="9" t="inlineStr">
        <is>
          <t>Generic Keywords编写与优化</t>
        </is>
      </c>
      <c r="C17" s="113" t="n">
        <v>10</v>
      </c>
      <c r="D17" s="82" t="n">
        <v>1</v>
      </c>
      <c r="E17" s="9" t="inlineStr">
        <is>
          <t>每个Listing的一套Generic Keywords：10元。</t>
        </is>
      </c>
      <c r="F17" s="9" t="inlineStr">
        <is>
          <t>固定1.0；按计费单位累计，不另加难度系数。</t>
        </is>
      </c>
      <c r="G17" s="115">
        <f>ROUND(C17*D17,2)</f>
        <v/>
      </c>
      <c r="H17" s="9" t="inlineStr">
        <is>
          <t>独立计费前提：需要员工自行研究产品、构思内容并交付原创文案。将别人提供的文案用Codex改写后填表上传，属于上架任务，不另计本项。
首次编写：依据已确认产品资料完成原创文案，核对参数、卖点及表述，交付可供上架的定稿并经确认后计费，不强制等待上线效果复盘。同次定稿前修改合并，不另计费。后续实质优化：登记问题依据、修改范围、目标及复盘日期，更新核验并完成复盘后结算；同模块复盘前追加修改并入原任务。单纯翻译已有文案归翻译更新项目。
同系列首次文案共用时，按实际独立原创内容套数计费：统一文案仅替换确认后的尺寸、电压、颜色等参数，标题/五点/描述/关键词各计一套，共50元；参数替换、填表及核对包含在上架执行中。不按复制出的Listing数量重复领取原创费。不同功能或卖点确需独立研究并原创的内容，按实际独立交付计费；参数不同不能作为唯一依据。</t>
        </is>
      </c>
      <c r="I17" s="3" t="inlineStr">
        <is>
          <t>重新整理1个Listing的搜索关键词：10元。</t>
        </is>
      </c>
    </row>
    <row r="18" ht="330" customHeight="1" s="1">
      <c r="A18" s="9" t="inlineStr">
        <is>
          <t>Listing内容维护</t>
        </is>
      </c>
      <c r="B18" s="9" t="inlineStr">
        <is>
          <t>全新制作或完全重做A+</t>
        </is>
      </c>
      <c r="C18" s="113" t="n">
        <v>75</v>
      </c>
      <c r="D18" s="82" t="n">
        <v>1</v>
      </c>
      <c r="E18" s="9" t="inlineStr">
        <is>
          <t>每份独立A+：75元。多个SKU共用同一份只计75元；不同内容按实际份数相加。</t>
        </is>
      </c>
      <c r="F18" s="9" t="inlineStr">
        <is>
          <t>固定1.0；按计费单位累计，不另加难度系数。</t>
        </is>
      </c>
      <c r="G18" s="115">
        <f>ROUND(C18*D18,2)</f>
        <v/>
      </c>
      <c r="H18" s="9" t="inlineStr">
        <is>
          <t>独立新建或完全重做A+为75元/份，包含产品卖点理解、页面构思、文案、美工制作要求、制作跟进、成品核验、发布及首次SKU绑定，不再叠加A+策划金额或相同素材的图片策划金额。同份内容多SKU共用只计一次，不按绑定数增加制作金额。后续独立绑定任务5元/SKU，局部修改按同份同轮10元；翻译发布已有内容按翻译项目。同一份完整A+只在两个A+制作项目中选择一项计费。首次制作发布核验后验收；已有内容实质优化重做还须完成复盘。</t>
        </is>
      </c>
      <c r="I18" s="3" t="inlineStr">
        <is>
          <t>5个SKU共用一份新A+：75元；分别重做5份：375元。</t>
        </is>
      </c>
    </row>
    <row r="19" ht="330" customHeight="1" s="1">
      <c r="A19" s="9" t="inlineStr">
        <is>
          <t>Listing内容维护</t>
        </is>
      </c>
      <c r="B19" s="9" t="inlineStr">
        <is>
          <t>A+内容增删修改</t>
        </is>
      </c>
      <c r="C19" s="113" t="n">
        <v>10</v>
      </c>
      <c r="D19" s="82" t="n">
        <v>1</v>
      </c>
      <c r="E19" s="9" t="inlineStr">
        <is>
          <t>同一份A+同一轮局部修改：10元。
不按模块数量累加；全新制作或完全重做按75元/份。</t>
        </is>
      </c>
      <c r="F19" s="9" t="inlineStr">
        <is>
          <t>固定1.0；按计费单位累计，不另加难度系数。</t>
        </is>
      </c>
      <c r="G19" s="115">
        <f>ROUND(C19*D19,2)</f>
        <v/>
      </c>
      <c r="H19" s="9" t="inlineStr">
        <is>
          <t>同一份A+同一轮内所有局部增加、删除或修改合计10元，不按模块数量累加；同一轮反复调整不重复计费。全新制作或完全重做按75元/份，不叠加局部修改金额。仅增加绑定SKU归A+制作发布，按5元/SKU。单纯事实纠错按Listing纠错计费。以优化为目的的修改执行优化登记与复盘规则。</t>
        </is>
      </c>
      <c r="I19" s="3" t="inlineStr">
        <is>
          <t>同一份A+本轮增加两项参数、删除过时信息、调整模块：合计10元。
无论修改几个模块，同一份同一轮合计10元。
全新制作或完全重做：按75元/份。</t>
        </is>
      </c>
    </row>
    <row r="20" ht="330" customHeight="1" s="1">
      <c r="A20" s="9" t="inlineStr">
        <is>
          <t>Listing内容维护</t>
        </is>
      </c>
      <c r="B20" s="9" t="inlineStr">
        <is>
          <t>变体关系维护</t>
        </is>
      </c>
      <c r="C20" s="113" t="n">
        <v>15</v>
      </c>
      <c r="D20" s="82" t="n">
        <v>1</v>
      </c>
      <c r="E20" s="9" t="inlineStr">
        <is>
          <t>15元：仅修改变体选项名称或属性值，不解除、重建父子关系。
25元：将已上架的独立SKU加入已有变体，不解除原有关系。
40元：独立商品组成新变体；或拆分、解除原关系后重新组合。</t>
        </is>
      </c>
      <c r="F20" s="9" t="inlineStr">
        <is>
          <t>1.0：原因和调整方案明确，直接执行并核验。
1.3：需要排查关系异常或属性冲突，确认原因后处理。
1.6：需要排查异常，且涉及两个及以上父体之间的拆分、迁移或重建。
基础金额与系数分别选择；系数只取适用最高档。</t>
        </is>
      </c>
      <c r="G20" s="115">
        <f>ROUND(C20*D20,2)</f>
        <v/>
      </c>
      <c r="H20" s="9" t="inlineStr">
        <is>
          <t>按同一次安排中的一个独立变体处理方案计费，包含核对、拆分、解绑、加入、重建及核验。基础金额只取适用最高档，不逐项累加。多个SKU共同组成同一变体算一个方案；互不相关的问题分别计费。跨多个父体完成同一次迁移或重组仍算一个方案。新品上架或其他异常处理已包含的相同工作不重复计费。</t>
        </is>
      </c>
      <c r="I20" s="3" t="inlineStr">
        <is>
          <t>只改选项名称：15元。
独立SKU加入已有变体：25元。
独立商品组合新变体：40元。
排查后解除并重建：52元。
排查并跨多个父体重组：64元。
详见“场景示例”末尾。</t>
        </is>
      </c>
    </row>
    <row r="21" ht="330" customHeight="1" s="1">
      <c r="A21" s="9" t="inlineStr">
        <is>
          <t>Listing内容维护</t>
        </is>
      </c>
      <c r="B21" s="9" t="inlineStr">
        <is>
          <t>图片维护</t>
        </is>
      </c>
      <c r="C21" s="113" t="n">
        <v>10</v>
      </c>
      <c r="D21" s="82" t="n">
        <v>1</v>
      </c>
      <c r="E21" s="9" t="inlineStr">
        <is>
          <t>每个SKU：10元。
每个SKU上传自己的产品图片；不按批量降低金额。</t>
        </is>
      </c>
      <c r="F21" s="9" t="inlineStr">
        <is>
          <t>1.0：OA有完整可用图片；或独立样品备货与拍摄协调任务已交付图片。
1.3：OA缺图，需联系产品负责人获取、确认并跟进图片。
等待时间长短不增加系数。</t>
        </is>
      </c>
      <c r="G21" s="115">
        <f>ROUND(C21*D21,2)</f>
        <v/>
      </c>
      <c r="H21" s="9" t="inlineStr">
        <is>
          <t>取得可用图片后上传并核验；未取得图片标记“待图片”，暂停时限，齐备后恢复剩余时限。仅需协调取图的SKU用1.3。样品备货与拍摄协调另计独立任务；同一上传成果不重复计费。</t>
        </is>
      </c>
      <c r="I21" s="3" t="inlineStr">
        <is>
          <t>5个SKU分别更新独立图片，有可用图片：50元。</t>
        </is>
      </c>
    </row>
    <row r="22" ht="330" customHeight="1" s="1">
      <c r="A22" s="9" t="inlineStr">
        <is>
          <t>价格管理</t>
        </is>
      </c>
      <c r="B22" s="9" t="inlineStr">
        <is>
          <t>价格调整</t>
        </is>
      </c>
      <c r="C22" s="113" t="n">
        <v>15</v>
      </c>
      <c r="D22" s="82" t="n">
        <v>1</v>
      </c>
      <c r="E22" s="9" t="inlineStr">
        <is>
          <t>同一次安排的批量改价任务：15元/批。
不按SKU数量、不同目标价格或OA记录数增加金额。</t>
        </is>
      </c>
      <c r="F22" s="9" t="inlineStr">
        <is>
          <t>固定1.0；负责人明确目标价格，员工执行并核验。</t>
        </is>
      </c>
      <c r="G22" s="115">
        <f>ROUND(C22*D22,2)</f>
        <v/>
      </c>
      <c r="H22" s="9" t="inlineStr">
        <is>
          <t>按负责人提供的SKU及目标价格完成调整，并核验实际生效价格。同一次安排中的多个SKU，即使目标价格不同，仍按一个批次计费。OA拆成多条记录、分文件上传、失败重试不增加批次。原价格维护及单纯改价异常合并为本项；Buy Box异常处理已包含的改价不重复计费。</t>
        </is>
      </c>
      <c r="I22" s="3" t="inlineStr">
        <is>
          <t>一次安排10个SKU分别涨到指定价格：15元。</t>
        </is>
      </c>
    </row>
    <row r="23" ht="330" customHeight="1" s="1">
      <c r="A23" s="9" t="inlineStr">
        <is>
          <t>价格管理</t>
        </is>
      </c>
      <c r="B23" s="9" t="inlineStr">
        <is>
          <t>Buy Box异常处理</t>
        </is>
      </c>
      <c r="C23" s="113" t="n">
        <v>15</v>
      </c>
      <c r="D23" s="82" t="n">
        <v>1</v>
      </c>
      <c r="E23" s="9" t="inlineStr">
        <is>
          <t>15元/ASIN（基础金额）。同一站点、同一ASIN、同一原因的连续异常只计一次；同一ASIN对应多个SKU不重复计费。不同ASIN分别计费，即使共用证据或同一个Case，也按实际处理并逐个验收的ASIN数量计算。</t>
        </is>
      </c>
      <c r="F23" s="9" t="inlineStr">
        <is>
          <t>固定1.0；按实际处理并验收的ASIN计费，不按SKU或Case数量提高系数。</t>
        </is>
      </c>
      <c r="G23" s="115">
        <f>ROUND(C23*D23,2)</f>
        <v/>
      </c>
      <c r="H23" s="9" t="inlineStr">
        <is>
          <t>包含售价及运费核查、截图取证、材料整理、开Case及后续跟进。按站点＋ASIN＋同一异常识别任务，不按SKU、Case、重试次数或处理时长增加金额；已含改价不另计费。每个ASIN须记录处理及核验结果。恢复后核验验收；未恢复时凭证齐全并经负责人确认阶段结案可结算。处理中暂不结算，阶段结案后同一异常恢复不重复计费。本人责任纠错不另计酬，主动任务按适用倍率结算。</t>
        </is>
      </c>
      <c r="I23" s="3" t="inlineStr">
        <is>
          <t>以下均为负责人安排、倍率1的示例：
同站点1个ASIN对应3个SKU：15元。
同站点3个ASIN共用1个Case且均验收：45元。
30个ASIN均验收：450元。
同一ASIN同一异常多次开Case：仍为15元。
未恢复但确认阶段结案可计费，仍处理中暂不结算。</t>
        </is>
      </c>
    </row>
    <row r="24" ht="330" customHeight="1" s="1">
      <c r="A24" s="9" t="inlineStr">
        <is>
          <t>价格管理</t>
        </is>
      </c>
      <c r="B24" s="9" t="inlineStr">
        <is>
          <t>主动价格优化（说明项，不独立计费）</t>
        </is>
      </c>
      <c r="C24" s="113" t="n">
        <v>0</v>
      </c>
      <c r="D24" s="82" t="n">
        <v>1</v>
      </c>
      <c r="E24" s="9" t="inlineStr">
        <is>
          <t>本行不独立计费。
员工自主发现价格异常并修正，使用"价格调整"基础金额15元×主动倍率1.5＝22.5元。</t>
        </is>
      </c>
      <c r="F24" s="9" t="inlineStr">
        <is>
          <t>不适用：本项不独立计任务金额
难度按关联主任务的等级选择</t>
        </is>
      </c>
      <c r="G24" s="115">
        <f>ROUND(C24*D24,2)</f>
        <v/>
      </c>
      <c r="H24" s="9" t="inlineStr">
        <is>
          <t>本行为说明项，不产生独立任务金额。员工自主发现价格异常并完成修正时，使用"价格调整"的基础金额15元×难度系数×主动倍率1.5结算，不另设独立计费项目。员工先提出建议、经负责人批准后执行，仍属主动。补建任务或认领变化不改变来源。</t>
        </is>
      </c>
      <c r="I24" s="3" t="n"/>
    </row>
    <row r="25" ht="330" customHeight="1" s="1">
      <c r="A25" s="9" t="inlineStr">
        <is>
          <t>促销管理</t>
        </is>
      </c>
      <c r="B25" s="9" t="inlineStr">
        <is>
          <t>Coupon与Promotion创建</t>
        </is>
      </c>
      <c r="C25" s="113" t="n">
        <v>15</v>
      </c>
      <c r="D25" s="82" t="n">
        <v>1</v>
      </c>
      <c r="E25" s="9" t="inlineStr">
        <is>
          <t>按已明确的优惠方案，实际创建并完成核验的每个独立Coupon或Promotion活动计15元。
同一活动包含多个SKU仍计15元；不同活动分别计费。</t>
        </is>
      </c>
      <c r="F25" s="9" t="inlineStr">
        <is>
          <t>固定1.0；负责人明确优惠方案，员工执行并核验。</t>
        </is>
      </c>
      <c r="G25" s="115">
        <f>ROUND(C25*D25,2)</f>
        <v/>
      </c>
      <c r="H25" s="9" t="inlineStr">
        <is>
          <t>按明确优惠方案创建活动并核验，15元/独立活动。不得人为拆分活动增加金额。创建或提报过程中的报错、参数修正、失败重试及重新提交，包含在原任务金额值内，不另计异常处理金额。修复本人操作造成的问题不新增金额。已上线活动后续出现新的独立问题，另行界定任务，不自动重复领取创建或提报分。</t>
        </is>
      </c>
      <c r="I25" s="3" t="inlineStr">
        <is>
          <t>创建1个活动、含20个SKU：15元。
创建5个独立活动：75元。
3个Coupon＋2个Promotion：75元。</t>
        </is>
      </c>
    </row>
    <row r="26" ht="330" customHeight="1" s="1">
      <c r="A26" s="9" t="inlineStr">
        <is>
          <t>促销管理</t>
        </is>
      </c>
      <c r="B26" s="9" t="inlineStr">
        <is>
          <t>Deal活动提报</t>
        </is>
      </c>
      <c r="C26" s="113" t="n">
        <v>10</v>
      </c>
      <c r="D26" s="82" t="n">
        <v>1</v>
      </c>
      <c r="E26" s="9" t="inlineStr">
        <is>
          <t>每个实际独立提报的Deal：10元。
不按包含的SKU数量增加；5个独立Deal计50元。</t>
        </is>
      </c>
      <c r="F26" s="9" t="inlineStr">
        <is>
          <t>固定1.0；按独立Deal数量计费。</t>
        </is>
      </c>
      <c r="G26" s="115">
        <f>ROUND(C26*D26,2)</f>
        <v/>
      </c>
      <c r="H26" s="9" t="inlineStr">
        <is>
          <t>完成Deal资料及参数核对、提报和提交结果核验后计费。平台是否批准另行记录，不以审批通过作为提报工作的唯一验收条件。创建或提报过程中的报错、参数修正、失败重试及重新提交，包含在原任务金额值内，不另计异常处理金额。修复本人操作造成的问题不新增金额。已上线活动后续出现新的独立问题，另行界定任务，不自动重复领取创建或提报分。</t>
        </is>
      </c>
      <c r="I26" s="3" t="inlineStr">
        <is>
          <t>提报1个Deal：10元。
提报5个独立Deal：50元。
同一Deal失败重试：不新增金额。</t>
        </is>
      </c>
    </row>
    <row r="27" ht="330" customHeight="1" s="1">
      <c r="A27" s="9" t="inlineStr">
        <is>
          <t>广告新建</t>
        </is>
      </c>
      <c r="B27" s="9" t="inlineStr">
        <is>
          <t>SP广告创建</t>
        </is>
      </c>
      <c r="C27" s="113" t="n">
        <v>15</v>
      </c>
      <c r="D27" s="82" t="n">
        <v>1</v>
      </c>
      <c r="E27" s="9" t="inlineStr">
        <is>
          <t>每创建1个独立SP Campaign计15元。
不区分广告组、商品、目标、素材或落地页数量。</t>
        </is>
      </c>
      <c r="F27" s="9" t="inlineStr">
        <is>
          <t>固定1.0；按实际独立Campaign数量计费。</t>
        </is>
      </c>
      <c r="G27" s="115">
        <f>ROUND(C27*D27,2)</f>
        <v/>
      </c>
      <c r="H27" s="9"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按正常金额；自主发起按正常金额×主动倍率计算，同一工作只计一次。 新建Campaign必要的命名和归组包含在创建金额中，不单独计费。</t>
        </is>
      </c>
      <c r="I27" s="3" t="inlineStr">
        <is>
          <t>创建1个SP Campaign：15元。
创建3个独立SP Campaign：45元。
同一Campaign出现多条Ads Change：只计一次创建金额。</t>
        </is>
      </c>
    </row>
    <row r="28" ht="330" customHeight="1" s="1">
      <c r="A28" s="9" t="inlineStr">
        <is>
          <t>广告新建</t>
        </is>
      </c>
      <c r="B28" s="9" t="inlineStr">
        <is>
          <t>SB广告创建</t>
        </is>
      </c>
      <c r="C28" s="113" t="n">
        <v>20</v>
      </c>
      <c r="D28" s="82" t="n">
        <v>1</v>
      </c>
      <c r="E28" s="9" t="inlineStr">
        <is>
          <t>每创建1个独立SB Campaign计20元。
不区分广告组、商品、目标、素材或落地页数量。</t>
        </is>
      </c>
      <c r="F28" s="9" t="inlineStr">
        <is>
          <t>固定1.0；按实际独立Campaign数量计费。</t>
        </is>
      </c>
      <c r="G28" s="115">
        <f>ROUND(C28*D28,2)</f>
        <v/>
      </c>
      <c r="H28" s="9"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按正常金额；自主发起按正常金额×主动倍率计算，同一工作只计一次。 SBV只按SBV项目计费，不再同时计SB创建金额。 新建Campaign必要的命名和归组包含在创建金额中，不单独计费。</t>
        </is>
      </c>
      <c r="I28" s="3" t="inlineStr">
        <is>
          <t>创建1个SB Campaign：20元。
创建3个独立SB Campaign：60元。
同一Campaign出现多条Ads Change：只计一次创建金额。</t>
        </is>
      </c>
    </row>
    <row r="29" ht="330" customHeight="1" s="1">
      <c r="A29" s="9" t="inlineStr">
        <is>
          <t>广告新建</t>
        </is>
      </c>
      <c r="B29" s="9" t="inlineStr">
        <is>
          <t>SBV广告创建</t>
        </is>
      </c>
      <c r="C29" s="113" t="n">
        <v>20</v>
      </c>
      <c r="D29" s="82" t="n">
        <v>1</v>
      </c>
      <c r="E29" s="9" t="inlineStr">
        <is>
          <t>每创建1个独立SBV Campaign计20元。
不区分广告组、商品、目标、素材或落地页数量。</t>
        </is>
      </c>
      <c r="F29" s="9" t="inlineStr">
        <is>
          <t>固定1.0；按实际独立Campaign数量计费。</t>
        </is>
      </c>
      <c r="G29" s="115">
        <f>ROUND(C29*D29,2)</f>
        <v/>
      </c>
      <c r="H29" s="9"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按正常金额；自主发起按正常金额×主动倍率计算，同一工作只计一次。 SBV只按SBV项目计费，不再同时计SB创建金额。 新建Campaign必要的命名和归组包含在创建金额中，不单独计费。</t>
        </is>
      </c>
      <c r="I29" s="3" t="inlineStr">
        <is>
          <t>创建1个SBV Campaign：20元。
创建3个独立SBV Campaign：60元。
同一Campaign出现多条Ads Change：只计一次创建金额。</t>
        </is>
      </c>
    </row>
    <row r="30" ht="330" customHeight="1" s="1">
      <c r="A30" s="9" t="inlineStr">
        <is>
          <t>广告新建</t>
        </is>
      </c>
      <c r="B30" s="9" t="inlineStr">
        <is>
          <t>SD广告创建</t>
        </is>
      </c>
      <c r="C30" s="113" t="n">
        <v>20</v>
      </c>
      <c r="D30" s="82" t="n">
        <v>1</v>
      </c>
      <c r="E30" s="9" t="inlineStr">
        <is>
          <t>每创建1个独立SD Campaign计20元。
不区分广告组、商品、目标、素材或落地页数量。</t>
        </is>
      </c>
      <c r="F30" s="9" t="inlineStr">
        <is>
          <t>固定1.0；按实际独立Campaign数量计费。</t>
        </is>
      </c>
      <c r="G30" s="115">
        <f>ROUND(C30*D30,2)</f>
        <v/>
      </c>
      <c r="H30" s="9" t="inlineStr">
        <is>
          <t>创建后在Ads Change中认领对应变化，创建或关联任务，填写创建原因并完成核验。以Campaign ID去重，同一Campaign只领取一次创建金额；多条变化记录不重复计费。初始广告组、商品、目标、素材、预算、竞价及否定设置均包含在创建金额中。不得人为拆分Campaign增加金额；认领变化不改变发起来源；负责人安排按正常金额；自主发起按正常金额×主动倍率计算，同一工作只计一次。 新建Campaign必要的命名和归组包含在创建金额中，不单独计费。</t>
        </is>
      </c>
      <c r="I30" s="3" t="inlineStr">
        <is>
          <t>创建1个SD Campaign：20元。
创建3个独立SD Campaign：60元。
同一Campaign出现多条Ads Change：只计一次创建金额。</t>
        </is>
      </c>
    </row>
    <row r="31" ht="330" customHeight="1" s="1">
      <c r="A31" s="46" t="inlineStr">
        <is>
          <t>广告调整</t>
        </is>
      </c>
      <c r="B31" s="46" t="inlineStr">
        <is>
          <t>广告执行调整</t>
        </is>
      </c>
      <c r="C31" s="84" t="n">
        <v>10</v>
      </c>
      <c r="D31" s="85" t="n">
        <v>1</v>
      </c>
      <c r="E31" s="46" t="inlineStr">
        <is>
          <t>每个Campaign每次有效调整：10元。
每个自然周（周一至周日）每个Campaign最多计2次，即每个Campaign每周最高20元。
不同Campaign分别计费。</t>
        </is>
      </c>
      <c r="F31" s="46" t="inlineStr">
        <is>
          <t>固定1.0；按负责人明确指令或主动发起的有效调整执行并核验。</t>
        </is>
      </c>
      <c r="G31" s="86">
        <f>ROUND(C31*D31,2)</f>
        <v/>
      </c>
      <c r="H31" s="46" t="inlineStr">
        <is>
          <t>涵盖关键词与搜索词调整、否定投放调整、广告产品归组与补充、ASIN与商品投放调整、Bid与投放位置调整。同一次调整包含多种动作合计只算1次，可关联多条Ads Change。第二次计费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t>
        </is>
      </c>
      <c r="I31" s="3" t="inlineStr">
        <is>
          <t>调整3个Campaign各1次有效调整：30元。
调整15个Campaign各1次有效调整：150元。
调整30个Campaign各1次有效调整：300元。
1个Campaign本周已调整2次：不再计费。</t>
        </is>
      </c>
    </row>
    <row r="32" ht="330" customHeight="1" s="1">
      <c r="A32" s="9" t="inlineStr">
        <is>
          <t>Listing与账号异常</t>
        </is>
      </c>
      <c r="B32" s="9" t="inlineStr">
        <is>
          <t>Listing异常申诉与Case处理</t>
        </is>
      </c>
      <c r="C32" s="113" t="n">
        <v>20</v>
      </c>
      <c r="D32" s="82" t="n">
        <v>1</v>
      </c>
      <c r="E32" s="9" t="inlineStr">
        <is>
          <t>每个ASIN的一项独立异常处理：20元。
处理5个ASIN计100元；不再采用ASIN数量分档。
同一ASIN同一异常只计一次。</t>
        </is>
      </c>
      <c r="F32" s="9" t="inlineStr">
        <is>
          <t>固定1.0；按ASIN及独立异常计费，不按Case数量或处理次数增加系数。</t>
        </is>
      </c>
      <c r="G32" s="115">
        <f>ROUND(C32*D32,2)</f>
        <v/>
      </c>
      <c r="H32" s="9" t="inlineStr">
        <is>
          <t>包含异常核查、材料整理、Appeal或Case提交、回复跟进及结果核验。同一ASIN同一异常的多次申诉、多个Case或补充材料合并计20元。合并在一个Case中的多个ASIN按个数计费，但须逐个记录处理结果。恢复后验收；未恢复时提交完整记录，经负责人确认阶段结案后计费，后续同一异常恢复不重复领取。已归Buy Box、滞留库存或变体关系维护的同一问题不叠加本项。负责人安排按正常金额；自主发起按正常金额×主动倍率计算。</t>
        </is>
      </c>
      <c r="I32" s="3" t="inlineStr">
        <is>
          <t>1个ASIN，多次Case处理同一异常：20元。
5个ASIN合并一个Case，逐个完成核验：100元。
已阶段结案计20元，之后恢复：不再增加金额。</t>
        </is>
      </c>
    </row>
    <row r="33" ht="330" customHeight="1" s="1">
      <c r="A33" s="9" t="inlineStr">
        <is>
          <t>Brand Store维护</t>
        </is>
      </c>
      <c r="B33" s="9" t="inlineStr">
        <is>
          <t>二级类目商品维护</t>
        </is>
      </c>
      <c r="C33" s="113" t="n">
        <v>10</v>
      </c>
      <c r="D33" s="82" t="n">
        <v>1</v>
      </c>
      <c r="E33" s="9" t="inlineStr">
        <is>
          <t>每个二级类目的一次商品更新：10元。
在原有模块内添加、删除或替换商品；不按SKU数量增加。</t>
        </is>
      </c>
      <c r="F33" s="9" t="inlineStr">
        <is>
          <t>固定1.0；按实际更新的二级类目数量计费。</t>
        </is>
      </c>
      <c r="G33" s="115">
        <f>ROUND(C33*D33,2)</f>
        <v/>
      </c>
      <c r="H33" s="9" t="inlineStr">
        <is>
          <t>按实际二级类目及一次安排计费，例如Motorized Ball Valve下的1/2英寸尺寸类目。记录类目路径和页面标识；同类目多商品更新合并一次，不按SKU数量增加金额。同一二级类目既改商品又重建模块，只计25元，不计35元。正常提交、反馈修正及核验包含在原任务中；本人本次操作导致的报错修复不新增金额。按发起来源选择任务金额或主动金额，不叠加。</t>
        </is>
      </c>
      <c r="I33" s="3" t="inlineStr">
        <is>
          <t>更新1/2英寸类目商品：10元。
同时更新1/2英寸和3/4英寸两个类目：20元。</t>
        </is>
      </c>
    </row>
    <row r="34" ht="330" customHeight="1" s="1">
      <c r="A34" s="9" t="inlineStr">
        <is>
          <t>Brand Store维护</t>
        </is>
      </c>
      <c r="B34" s="9" t="inlineStr">
        <is>
          <t>二级类目模块新增或重建</t>
        </is>
      </c>
      <c r="C34" s="113" t="n">
        <v>25</v>
      </c>
      <c r="D34" s="82" t="n">
        <v>1</v>
      </c>
      <c r="E34" s="9" t="inlineStr">
        <is>
          <t>每个二级类目的一次模块新增、替换或重建：25元。
包含必要布局、商品配置及核验；不按模块数量增加。</t>
        </is>
      </c>
      <c r="F34" s="9" t="inlineStr">
        <is>
          <t>固定1.0；按实际调整的二级类目数量计费。</t>
        </is>
      </c>
      <c r="G34" s="115">
        <f>ROUND(C34*D34,2)</f>
        <v/>
      </c>
      <c r="H34" s="9" t="inlineStr">
        <is>
          <t>按实际二级类目及一次安排计费，例如Motorized Ball Valve下的1/2英寸尺寸类目。记录类目路径和页面标识；同类目多商品更新合并一次，不按SKU数量增加金额。同一二级类目既改商品又重建模块，只计25元，不计35元。正常提交、反馈修正及核验包含在原任务中；本人本次操作导致的报错修复不新增金额。按发起来源选择任务金额或主动金额，不叠加。</t>
        </is>
      </c>
      <c r="I34" s="3" t="inlineStr">
        <is>
          <t>1/2英寸类目重建模块并配置商品：25元。
两个尺寸类目均需重建：50元。</t>
        </is>
      </c>
    </row>
    <row r="35" ht="330" customHeight="1" s="1">
      <c r="A35" s="9" t="inlineStr">
        <is>
          <t>Brand Store维护</t>
        </is>
      </c>
      <c r="B35" s="9" t="inlineStr">
        <is>
          <t>提交阻断问题处理</t>
        </is>
      </c>
      <c r="C35" s="113" t="n">
        <v>15</v>
      </c>
      <c r="D35" s="82" t="n">
        <v>1</v>
      </c>
      <c r="E35" s="9" t="inlineStr">
        <is>
          <t>每次独立提交任务：15元。
仅限本次更新范围外其他板块的原有报错。</t>
        </is>
      </c>
      <c r="F35" s="9" t="inlineStr">
        <is>
          <t>固定1.0；同次提交多个报错合并计费。</t>
        </is>
      </c>
      <c r="G35" s="115">
        <f>ROUND(C35*D35,2)</f>
        <v/>
      </c>
      <c r="H35" s="9" t="inlineStr">
        <is>
          <t>仅处理本次更新范围之外、其他板块原有报错导致无法提交的问题。须保留报错截图、修复位置和提交成功记录。同一独立提交任务出现多个报错、反复尝试或涉及多个类目，只计一次15元，不按报错或类目数累加。本人本次更新造成的错误属于返工，不计本项。由同一人或不同人处理均按实际工作归属，不能重复领取。</t>
        </is>
      </c>
      <c r="I35" s="3" t="inlineStr">
        <is>
          <t>两个尺寸类目商品更新20元＋修复其他板块历史报错15元＝35元。
若报错由本人本次操作导致，仍只计20元。</t>
        </is>
      </c>
    </row>
    <row r="36" ht="330" customHeight="1" s="1">
      <c r="A36" s="9" t="inlineStr">
        <is>
          <t>Review、Feedback与客户声音</t>
        </is>
      </c>
      <c r="B36" s="9" t="inlineStr">
        <is>
          <t>VOC数据更新与AI分析</t>
        </is>
      </c>
      <c r="C36" s="113" t="n">
        <v>10</v>
      </c>
      <c r="D36" s="82" t="n">
        <v>1</v>
      </c>
      <c r="E36" s="9" t="inlineStr">
        <is>
          <t>每周完成一次数据下载、数据库更新、AI分析及基本核验，计10元；不按数据条数分档。</t>
        </is>
      </c>
      <c r="F36" s="9" t="inlineStr">
        <is>
          <t>固定1.0；按每周完整任务计费。</t>
        </is>
      </c>
      <c r="G36" s="115">
        <f>ROUND(C36*D36,2)</f>
        <v/>
      </c>
      <c r="H36" s="9" t="inlineStr">
        <is>
          <t>下载本周所需数据并记录期间；保存到数据库，核对导入成功、无明显遗漏或重复；运行AI分析，保存结果并检查是否正常生成及有无明显错误。同一周任务中的多次下载、分文件导入、AI重跑和失败重试合并计费。AI分析不等于员工独立业务分析；后续核实问题、形成建议或推动处理，按独立交付及发起来源另行认定，相同工作不重复计费。</t>
        </is>
      </c>
      <c r="I36" s="3" t="inlineStr">
        <is>
          <t>完成本周下载、入库、AI分析及核验：10元。
同周分多个文件导入或重跑AI：仍计10元。</t>
        </is>
      </c>
    </row>
    <row r="37" ht="330" customHeight="1" s="1">
      <c r="A37" s="9" t="inlineStr">
        <is>
          <t>Review、Feedback与客户声音</t>
        </is>
      </c>
      <c r="B37" s="9" t="inlineStr">
        <is>
          <t>Listing问题处理</t>
        </is>
      </c>
      <c r="C37" s="113" t="n">
        <v>0</v>
      </c>
      <c r="D37" s="82" t="n">
        <v>1</v>
      </c>
      <c r="E37" s="9" t="inlineStr">
        <is>
          <t>关联入口：0元
按Listing纠错、优化或素材主任务计费
相同修改不再重复获得任务金额</t>
        </is>
      </c>
      <c r="F37" s="9" t="inlineStr">
        <is>
          <t>不适用：本项不独立计任务金额
难度按关联主任务的等级选择</t>
        </is>
      </c>
      <c r="G37" s="115">
        <f>ROUND(C37*D37,2)</f>
        <v/>
      </c>
      <c r="H37" s="9" t="inlineStr">
        <is>
          <t>VOC只是问题来源，不决定计费路径。负责人安排的修改按对应主任务计费；员工自主发现并发起的改善仅计主动金额，同一交付不叠加。</t>
        </is>
      </c>
      <c r="I37" s="3" t="n"/>
    </row>
    <row r="38" ht="330" customHeight="1" s="1">
      <c r="A38" s="9" t="inlineStr">
        <is>
          <t>Review、Feedback与客户声音</t>
        </is>
      </c>
      <c r="B38" s="9" t="inlineStr">
        <is>
          <t>产品质量问题反馈</t>
        </is>
      </c>
      <c r="C38" s="113" t="n">
        <v>10</v>
      </c>
      <c r="D38" s="82" t="n">
        <v>1</v>
      </c>
      <c r="E38" s="9" t="inlineStr">
        <is>
          <t>1类产品共性问题：
1个产品：10元
同因2—5个产品：15元
同因6—20个产品：25元
含证据、转交及1个反馈节点</t>
        </is>
      </c>
      <c r="F38" s="9" t="inlineStr">
        <is>
          <t>1.0：按标准范围和既定方案完成
1.3：证据存在差异，需补充分类或核实范围。
1.6：跨产品证据相互矛盾，需系统梳理及协调验证结论。</t>
        </is>
      </c>
      <c r="G38" s="115">
        <f>ROUND(C38*D38,2)</f>
        <v/>
      </c>
      <c r="H38" s="9" t="inlineStr">
        <is>
          <t>与售后同类反馈合并为同一问题单；产品开发执行另计开发任务。</t>
        </is>
      </c>
      <c r="I38" s="3" t="n"/>
    </row>
    <row r="39" ht="330" customHeight="1" s="1">
      <c r="A39" s="9" t="inlineStr">
        <is>
          <t>库存与配送</t>
        </is>
      </c>
      <c r="B39" s="9" t="inlineStr">
        <is>
          <t>FBA货件问题处理</t>
        </is>
      </c>
      <c r="C39" s="113" t="n">
        <v>5</v>
      </c>
      <c r="D39" s="82" t="n">
        <v>1</v>
      </c>
      <c r="E39" s="9" t="inlineStr">
        <is>
          <t>每个货件问题计5元。</t>
        </is>
      </c>
      <c r="F39" s="9" t="inlineStr">
        <is>
          <t>固定1.0。</t>
        </is>
      </c>
      <c r="G39" s="115">
        <f>ROUND(C39*D39,2)</f>
        <v/>
      </c>
      <c r="H39" s="9" t="inlineStr">
        <is>
          <t>查看问题并核对情况，按实际情况接受，或选择不接受并提交Appeal，完成处理记录。同一货件、同一问题后续查看、重复提交及跟进不重复计费。不以Appeal成功为计费条件，须完成必要操作并核验提交状态。</t>
        </is>
      </c>
      <c r="I39" s="3" t="inlineStr">
        <is>
          <t>处理3个货件，每个货件各1个问题：15元。</t>
        </is>
      </c>
    </row>
    <row r="40" ht="330" customHeight="1" s="1">
      <c r="A40" s="9" t="inlineStr">
        <is>
          <t>库存与配送</t>
        </is>
      </c>
      <c r="B40" s="9" t="inlineStr">
        <is>
          <t>库存冗余折扣上传</t>
        </is>
      </c>
      <c r="C40" s="113" t="n">
        <v>10</v>
      </c>
      <c r="D40" s="82" t="n">
        <v>1</v>
      </c>
      <c r="E40" s="9" t="inlineStr">
        <is>
          <t>同一次安排的一批上传任务计10元，不按SKU数量增加。</t>
        </is>
      </c>
      <c r="F40" s="9" t="inlineStr">
        <is>
          <t>固定1.0；程序提供SKU及折扣方案，员工上传并核验。</t>
        </is>
      </c>
      <c r="G40" s="115">
        <f>ROUND(C40*D40,2)</f>
        <v/>
      </c>
      <c r="H40" s="9" t="inlineStr">
        <is>
          <t>包含上传、检查处理结果及修正上传报错。同一批拆成多个文件、重复上传或重试不重复计费。不要求员工分析冗余原因或制定折扣方案，不以库存最终售出作为完成条件。与价格调整或促销创建属于同一次交付的，只结算一次。</t>
        </is>
      </c>
      <c r="I40" s="3" t="inlineStr">
        <is>
          <t>程序生成50个SKU及折扣，完成上传并确认生效：10元。</t>
        </is>
      </c>
    </row>
    <row r="41" ht="330" customHeight="1" s="1">
      <c r="A41" s="9" t="inlineStr">
        <is>
          <t>库存管理</t>
        </is>
      </c>
      <c r="B41" s="9" t="inlineStr">
        <is>
          <t>滞留库存—移除库存</t>
        </is>
      </c>
      <c r="C41" s="113" t="n">
        <v>10</v>
      </c>
      <c r="D41" s="82" t="n">
        <v>1</v>
      </c>
      <c r="E41" s="9" t="inlineStr">
        <is>
          <t>每批10元，不按SKU数量增加。</t>
        </is>
      </c>
      <c r="F41" s="9" t="inlineStr">
        <is>
          <t>固定1.0。</t>
        </is>
      </c>
      <c r="G41" s="115">
        <f>ROUND(C41*D41,2)</f>
        <v/>
      </c>
      <c r="H41" s="9" t="inlineStr">
        <is>
          <t>成功创建移除订单，核对SKU、数量及处理方式，保存订单编号。
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按正常金额；自主发起按正常金额×主动倍率计算，同一工作只计一次。</t>
        </is>
      </c>
      <c r="I41" s="3" t="inlineStr">
        <is>
          <t>同批移除多个SKU：10元。</t>
        </is>
      </c>
    </row>
    <row r="42" ht="330" customHeight="1" s="1">
      <c r="A42" s="9" t="inlineStr">
        <is>
          <t>库存管理</t>
        </is>
      </c>
      <c r="B42" s="9" t="inlineStr">
        <is>
          <t>滞留库存—Relist重新发布</t>
        </is>
      </c>
      <c r="C42" s="113" t="n">
        <v>10</v>
      </c>
      <c r="D42" s="82" t="n">
        <v>1</v>
      </c>
      <c r="E42" s="9" t="inlineStr">
        <is>
          <t>每批10元，不按SKU数量增加。</t>
        </is>
      </c>
      <c r="F42" s="9" t="inlineStr">
        <is>
          <t>固定1.0。</t>
        </is>
      </c>
      <c r="G42" s="115">
        <f>ROUND(C42*D42,2)</f>
        <v/>
      </c>
      <c r="H42" s="9" t="inlineStr">
        <is>
          <t>完成重新发布，核验发布结果及滞留状态，保留处理记录。
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按正常金额；自主发起按正常金额×主动倍率计算，同一工作只计一次。</t>
        </is>
      </c>
      <c r="I42" s="3" t="inlineStr">
        <is>
          <t>同批Relist多个SKU：10元。</t>
        </is>
      </c>
    </row>
    <row r="43" ht="330" customHeight="1" s="1">
      <c r="A43" s="9" t="inlineStr">
        <is>
          <t>库存管理</t>
        </is>
      </c>
      <c r="B43" s="9" t="inlineStr">
        <is>
          <t>滞留库存—申诉或Case处理</t>
        </is>
      </c>
      <c r="C43" s="113" t="n">
        <v>15</v>
      </c>
      <c r="D43" s="82" t="n">
        <v>1</v>
      </c>
      <c r="E43" s="9" t="inlineStr">
        <is>
          <t>每个独立问题15元，不按Case或提交次数增加。</t>
        </is>
      </c>
      <c r="F43" s="9" t="inlineStr">
        <is>
          <t>固定1.0。</t>
        </is>
      </c>
      <c r="G43" s="115">
        <f>ROUND(C43*D43,2)</f>
        <v/>
      </c>
      <c r="H43" s="9" t="inlineStr">
        <is>
          <t>核对原因、提交申诉或Case并跟进；问题解决，或材料及处理记录完整、由负责人确认阶段结案。
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按正常金额；自主发起按正常金额×主动倍率计算，同一工作只计一次。</t>
        </is>
      </c>
      <c r="I43" s="3" t="inlineStr">
        <is>
          <t>同一问题先Relist再申诉：合计15元。</t>
        </is>
      </c>
    </row>
    <row r="44" ht="330" customHeight="1" s="1">
      <c r="A44" s="9" t="inlineStr">
        <is>
          <t>库存管理</t>
        </is>
      </c>
      <c r="B44" s="9" t="inlineStr">
        <is>
          <t>滞留库存—已有电池／化学品资料提交</t>
        </is>
      </c>
      <c r="C44" s="113" t="n">
        <v>10</v>
      </c>
      <c r="D44" s="82" t="n">
        <v>1</v>
      </c>
      <c r="E44" s="9" t="inlineStr">
        <is>
          <t>使用已有完整资料完成一批提交，计10元。</t>
        </is>
      </c>
      <c r="F44" s="9" t="inlineStr">
        <is>
          <t>固定1.0。</t>
        </is>
      </c>
      <c r="G44" s="115">
        <f>ROUND(C44*D44,2)</f>
        <v/>
      </c>
      <c r="H44" s="9" t="inlineStr">
        <is>
          <t>核对资料与SKU的对应关系，提交并跟进审核结果，保存资料版本及处理记录。
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按正常金额；自主发起按正常金额×主动倍率计算，同一工作只计一次。</t>
        </is>
      </c>
      <c r="I44" s="3" t="inlineStr">
        <is>
          <t>已有完整资料完成一批提交：10元。</t>
        </is>
      </c>
    </row>
    <row r="45" ht="330" customHeight="1" s="1">
      <c r="A45" s="9" t="inlineStr">
        <is>
          <t>库存管理</t>
        </is>
      </c>
      <c r="B45" s="9" t="inlineStr">
        <is>
          <t>滞留库存—电池／化学品资料协调与提交</t>
        </is>
      </c>
      <c r="C45" s="113" t="n">
        <v>10</v>
      </c>
      <c r="D45" s="82" t="n">
        <v>1</v>
      </c>
      <c r="E45" s="9" t="inlineStr">
        <is>
          <t>需协调获取资料、核对并完成一批提交，计10元。</t>
        </is>
      </c>
      <c r="F45" s="9" t="inlineStr">
        <is>
          <t>固定1.0。</t>
        </is>
      </c>
      <c r="G45" s="115">
        <f>ROUND(C45*D45,2)</f>
        <v/>
      </c>
      <c r="H45" s="9" t="inlineStr">
        <is>
          <t>协调取得可用资料，核对SKU对应关系，完成提交并跟进审核结果；已包含资料提交，不另增加金额。
同一次安排、同一处理方式且可一起完成的SKU合并为一批，不按SKU数量增加；拆文件、重复提交或重试不重复计费。同一问题连续处理只取最高适用金额，例如先Relist再申诉合计15元；资料协调已含提交，不叠加。待资料或审核中不自动结案，未解决由负责人确认阶段结案。与Listing修复、其他库存处置的相同交付不重复计费。负责人安排按正常金额；自主发起按正常金额×主动倍率计算，同一工作只计一次。</t>
        </is>
      </c>
      <c r="I45" s="3" t="inlineStr">
        <is>
          <t>协调取得资料并提交：合计10元。</t>
        </is>
      </c>
    </row>
    <row r="46" ht="330" customHeight="1" s="1">
      <c r="A46" s="9" t="inlineStr">
        <is>
          <t>数据与报表</t>
        </is>
      </c>
      <c r="B46" s="9" t="inlineStr">
        <is>
          <t>Category Report下载</t>
        </is>
      </c>
      <c r="C46" s="113" t="n">
        <v>5</v>
      </c>
      <c r="D46" s="82" t="n">
        <v>1</v>
      </c>
      <c r="E46" s="9" t="inlineStr">
        <is>
          <t>按要求每天下载、归档并核验，每周合并结算。
金额＝5元×合格完成天数÷当周应完成天数。
当周无任务则不计费。</t>
        </is>
      </c>
      <c r="F46" s="9" t="inlineStr">
        <is>
          <t>固定1.0；按每天完成，每周结算。</t>
        </is>
      </c>
      <c r="G46" s="115">
        <f>ROUND(C46*D46,2)</f>
        <v/>
      </c>
      <c r="H46" s="9" t="inlineStr">
        <is>
          <t>固定例行工作，主动倍率×1。每天按要求下载、归档并核验Category Report。每周合并结算：金额＝5元×合格完成天数÷当周应完成天数。因假期、系统故障等不可控原因未下载的天数不计入应完成天数。当周无任务则不计费。同一天多次下载合并计费。</t>
        </is>
      </c>
      <c r="I46" s="3" t="inlineStr">
        <is>
          <t>应完成5天，完成5天：5元／周；完成4天：4元／周。当周无任务：0元。</t>
        </is>
      </c>
    </row>
    <row r="47" ht="330" customHeight="1" s="1">
      <c r="A47" s="9" t="inlineStr">
        <is>
          <t>数据与报表</t>
        </is>
      </c>
      <c r="B47" s="9" t="inlineStr">
        <is>
          <t>关键词市场占有率统计及竞品检查</t>
        </is>
      </c>
      <c r="C47" s="113" t="n">
        <v>10</v>
      </c>
      <c r="D47" s="82" t="n">
        <v>1</v>
      </c>
      <c r="E47" s="9" t="inlineStr">
        <is>
          <t>每个关键词每月完成一次统计及竞品检查：10元/关键词/月。</t>
        </is>
      </c>
      <c r="F47" s="9" t="inlineStr">
        <is>
          <t>固定1.0；按关键词数量及月度任务计费。</t>
        </is>
      </c>
      <c r="G47" s="115">
        <f>ROUND(C47*D47,2)</f>
        <v/>
      </c>
      <c r="H47" s="9" t="inlineStr">
        <is>
          <t>固定例行工作，主动倍率×1。完成统计数据整理及竞品对比后验收。同一关键词同月不重复计费。</t>
        </is>
      </c>
      <c r="I47" s="3" t="n"/>
    </row>
    <row r="48" ht="330" customHeight="1" s="1">
      <c r="A48" s="9" t="inlineStr">
        <is>
          <t>跨站点执行</t>
        </is>
      </c>
      <c r="B48" s="9" t="inlineStr">
        <is>
          <t>跨站点Listing创建</t>
        </is>
      </c>
      <c r="C48" s="113" t="n">
        <v>25</v>
      </c>
      <c r="D48" s="82" t="n">
        <v>1</v>
      </c>
      <c r="E48" s="9" t="inlineStr">
        <is>
          <t>按目标站点分别计算上架执行组，与美国站相同规则：
1个SKU：25元；2个及以上可共用上架表：40元。
CA、MX、BR等各站点分别制作上架表并完成发布，按各自站点独立计费。</t>
        </is>
      </c>
      <c r="F48" s="9" t="inlineStr">
        <is>
          <t>1.0：本组不新增或调整任何父子关系
1.3：本组需处理父子关系，仅涉及1个父体
1.6：本组需处理父子关系，涉及2个及以上不同父体</t>
        </is>
      </c>
      <c r="G48" s="115">
        <f>ROUND(C48*D48,2)</f>
        <v/>
      </c>
      <c r="H48" s="9" t="inlineStr">
        <is>
          <t>与美国站上架执行组规则一致，按目标站点独立分组。不同站点的上架表不共用，因此分别计费。同一SKU在多个站点上架，按各站点分别计算。
上架基础金额包含：到后台下载对应模板，将别人提供的文案用Codex改写、核对并填入表格，设置商品及变体，上传、处理报错并核验；不再叠加标题、五点、描述等编写金额。只有员工需要独立研究产品、构思卖点并交付原创文案时，才按对应文案项目另计。产品资料额外核实、独立图片/A+策划按各自交付计费；相同工作不重复。</t>
        </is>
      </c>
      <c r="I48" s="3" t="n"/>
    </row>
    <row r="49" ht="330" customHeight="1" s="1">
      <c r="A49" s="9" t="inlineStr">
        <is>
          <t>跨站点执行</t>
        </is>
      </c>
      <c r="B49" s="9" t="inlineStr">
        <is>
          <t>A+翻译后发布（非新策划）</t>
        </is>
      </c>
      <c r="C49" s="113" t="n">
        <v>10</v>
      </c>
      <c r="D49" s="82" t="n">
        <v>1</v>
      </c>
      <c r="E49" s="9" t="inlineStr">
        <is>
          <t>将已有A+翻译后发布到其他站点：10元/批。
同一次安排、同一份A+内容发布到多个站点，按批计费，不按站点数量累加。</t>
        </is>
      </c>
      <c r="F49" s="9" t="inlineStr">
        <is>
          <t>固定1.0；已有内容的翻译与发布。</t>
        </is>
      </c>
      <c r="G49" s="115">
        <f>ROUND(C49*D49,2)</f>
        <v/>
      </c>
      <c r="H49" s="9" t="inlineStr">
        <is>
          <t>仅限将美国站等已有A+翻译后发布，不涉及内容策划或重新设计。全新策划制作的A+按75元/份计费（A+制作发布），不按本项。翻译＋发布合并计费，不拆分翻译和发布分别领取。主动倍率按"固定例行工作"×1。</t>
        </is>
      </c>
      <c r="I49" s="3" t="n"/>
    </row>
    <row r="50" ht="330" customHeight="1" s="1">
      <c r="A50" s="46" t="inlineStr">
        <is>
          <t>跨站点执行</t>
        </is>
      </c>
      <c r="B50" s="46" t="inlineStr">
        <is>
          <t>翻译后批量更新Listing文案</t>
        </is>
      </c>
      <c r="C50" s="113" t="n">
        <v>10</v>
      </c>
      <c r="D50" s="82" t="n">
        <v>1</v>
      </c>
      <c r="E50" s="46" t="inlineStr">
        <is>
          <t>已提供文案，翻译后批量更新标题、五点、描述等：10元/批。
按同一次安排的一批任务计费，不按SKU数量增加。</t>
        </is>
      </c>
      <c r="F50" s="46" t="inlineStr">
        <is>
          <t>固定1.0；按批次计费。</t>
        </is>
      </c>
      <c r="G50" s="115">
        <f>ROUND(C50*D50,2)</f>
        <v/>
      </c>
      <c r="H50" s="46" t="inlineStr">
        <is>
          <t>与独立重写标题/五点/描述区分：本项为已有文案的翻译更新，非自主分析优化。独立重写按各自工作项目计费（标题10元、五点15元、描述15元等）。同一批翻译更新拆文件、重复上传不增加批次。主动倍率按"固定例行工作"×1。</t>
        </is>
      </c>
      <c r="I50" s="3" t="n"/>
    </row>
    <row r="51" ht="440" customHeight="1" s="1">
      <c r="A51" s="46" t="inlineStr">
        <is>
          <t>新品开发</t>
        </is>
      </c>
      <c r="B51" s="46" t="inlineStr">
        <is>
          <t>市场调研与产品建议</t>
        </is>
      </c>
      <c r="C51" s="113" t="n">
        <v>75</v>
      </c>
      <c r="D51" s="82" t="n">
        <v>1</v>
      </c>
      <c r="E51" s="46" t="inlineStr">
        <is>
          <t>75元/独立开发项目的本阶段交付；同系列共用调研或厂家方案只计一次，不按SKU数累加。</t>
        </is>
      </c>
      <c r="F51" s="46" t="inlineStr">
        <is>
          <t>固定1.0；按独立阶段交付计费。</t>
        </is>
      </c>
      <c r="G51" s="115">
        <f>ROUND(C51*D51,2)</f>
        <v/>
      </c>
      <c r="H51" s="46" t="inlineStr">
        <is>
          <t>分析竞品、需求、价格区间、关键规格、客户反馈及初步利润空间，提出产品建议和风险判断。数据注明来源、期间及估算口径。
调研完整且结论有依据，经负责人确认。无需凑固定竞品数量；结论为不建议开发时，已完成且通过验收的调研照常计费。
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I51" s="3" t="inlineStr">
        <is>
          <t>完整调研后确认不开发：仍计75元；后续未执行阶段不计。</t>
        </is>
      </c>
    </row>
    <row r="52" ht="440" customHeight="1" s="1">
      <c r="A52" s="46" t="inlineStr">
        <is>
          <t>新品开发</t>
        </is>
      </c>
      <c r="B52" s="46" t="inlineStr">
        <is>
          <t>厂家筛选、报价与合作条件确认</t>
        </is>
      </c>
      <c r="C52" s="113" t="n">
        <v>75</v>
      </c>
      <c r="D52" s="82" t="n">
        <v>1</v>
      </c>
      <c r="E52" s="46" t="inlineStr">
        <is>
          <t>75元/独立开发项目的本阶段交付；同系列共用调研或厂家方案只计一次，不按SKU数累加。</t>
        </is>
      </c>
      <c r="F52" s="46" t="inlineStr">
        <is>
          <t>固定1.0；按独立阶段交付计费。</t>
        </is>
      </c>
      <c r="G52" s="115">
        <f>ROUND(C52*D52,2)</f>
        <v/>
      </c>
      <c r="H52" s="46" t="inlineStr">
        <is>
          <t>寻找并核实匹配的厂家，比较有效报价、MOQ、交期、包装及定制条件，确认关键费用、供货能力和合作限制，提出选择建议。
关键合作条件清楚且有记录，经负责人确认。按完整找厂与条件确认交付计费，不按联系次数或报价份数计；无合适厂家时须提供完整调查结论并经负责人确认结案。
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I52" s="3" t="inlineStr">
        <is>
          <t>一个项目联系多家厂家并确认合作条件：合计75元。</t>
        </is>
      </c>
    </row>
    <row r="53" ht="440" customHeight="1" s="1">
      <c r="A53" s="46" t="inlineStr">
        <is>
          <t>新品开发</t>
        </is>
      </c>
      <c r="B53" s="46" t="inlineStr">
        <is>
          <t>样品评估及问题跟进</t>
        </is>
      </c>
      <c r="C53" s="113" t="n">
        <v>75</v>
      </c>
      <c r="D53" s="82" t="n">
        <v>1</v>
      </c>
      <c r="E53" s="46" t="inlineStr">
        <is>
          <t>75元/事先约定的独立样品验证任务；同一验证方案内的不同参数检查、原问题整改及复测合并。不因样品或SKU数量增加而自动增加任务数。</t>
        </is>
      </c>
      <c r="F53" s="46" t="inlineStr">
        <is>
          <t>固定1.0；按独立阶段交付计费。</t>
        </is>
      </c>
      <c r="G53" s="115">
        <f>ROUND(C53*D53,2)</f>
        <v/>
      </c>
      <c r="H53" s="46" t="inlineStr">
        <is>
          <t>按事先确认的验证要求完成样品检查或协调测试，记录问题、跟进整改及复测，形成通过、修改或停止结论。
形成可供决策的验证结论并经负责人验收；继续修改中不自动结案。同一轮原问题补测、整改、催办合并计费；新增独立验证范围须事先确认，不按每次样品到货计75元。
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I53" s="3" t="inlineStr">
        <is>
          <t>同一轮检查、整改和原问题复测：合计75元，不逐次累加。</t>
        </is>
      </c>
    </row>
    <row r="54" ht="440" customHeight="1" s="1">
      <c r="A54" s="46" t="inlineStr">
        <is>
          <t>新品开发与内容准备</t>
        </is>
      </c>
      <c r="B54" s="46" t="inlineStr">
        <is>
          <t>产品资料整理与确认</t>
        </is>
      </c>
      <c r="C54" s="113" t="n">
        <v>40</v>
      </c>
      <c r="D54" s="82" t="n">
        <v>1</v>
      </c>
      <c r="E54" s="46" t="inlineStr">
        <is>
          <t>40元／独立产品资料套。</t>
        </is>
      </c>
      <c r="F54" s="46" t="inlineStr">
        <is>
          <t>固定1.0；按实际独立交付计费。</t>
        </is>
      </c>
      <c r="G54" s="115">
        <f>ROUND(C54*D54,2)</f>
        <v/>
      </c>
      <c r="H54" s="46" t="inlineStr">
        <is>
          <t>主动核实产品规格、功能、使用方式、限制、卖点依据及包装内容，向厂家解决缺失或矛盾信息，形成经确认的可用事实资料。已有完整资料仅汇总、复制或直接使用不计本项。调研、找厂、样品任务已交付的相同资料不再计40元；只有额外核实、补全且独立验收的资料工作才计。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I54" s="3" t="inlineStr">
        <is>
          <t>额外核实并补全一套独立资料：40元；复制整理现成资料：不另计。</t>
        </is>
      </c>
    </row>
    <row r="55" ht="440" customHeight="1" s="1">
      <c r="A55" s="9" t="inlineStr">
        <is>
          <t>新品开发与内容准备</t>
        </is>
      </c>
      <c r="B55" s="9" t="inlineStr">
        <is>
          <t>产品图片策划</t>
        </is>
      </c>
      <c r="C55" s="113" t="n">
        <v>50</v>
      </c>
      <c r="D55" s="82" t="n">
        <v>1</v>
      </c>
      <c r="E55" s="9" t="inlineStr">
        <is>
          <t>50元／独立产品图片方案，不按图片张数累加。</t>
        </is>
      </c>
      <c r="F55" s="9" t="inlineStr">
        <is>
          <t>固定1.0；按实际独立交付计费。</t>
        </is>
      </c>
      <c r="G55" s="115">
        <f>ROUND(C55*D55,2)</f>
        <v/>
      </c>
      <c r="H55" s="9" t="inlineStr">
        <is>
          <t>明确主图和辅图各自展示内容、卖点、参数、文案及参考，提出美工制作要求，跟进修改并核验成图。同一方案多SKU共用只计一次50元；同轮沟通、修改及核验均包含。实际拍摄和修图不属于本人任务。图片上传另按10元/SKU；A+素材策划已含A+75元，相同交付不再计本项。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I55" s="3" t="inlineStr">
        <is>
          <t>一套主辅图方案并核验成图：50元；另完成1个SKU图片上传10元：合计60元。</t>
        </is>
      </c>
    </row>
    <row r="56" ht="440" customHeight="1" s="1">
      <c r="A56" s="9" t="inlineStr">
        <is>
          <t>新品开发与内容准备</t>
        </is>
      </c>
      <c r="B56" s="9" t="inlineStr">
        <is>
          <t>视频字幕文案编写</t>
        </is>
      </c>
      <c r="C56" s="113" t="n">
        <v>25</v>
      </c>
      <c r="D56" s="82" t="n">
        <v>1</v>
      </c>
      <c r="E56" s="9" t="inlineStr">
        <is>
          <t>25元／独立视频字幕稿。</t>
        </is>
      </c>
      <c r="F56" s="9" t="inlineStr">
        <is>
          <t>固定1.0；按实际独立交付计费。</t>
        </is>
      </c>
      <c r="G56" s="115">
        <f>ROUND(C56*D56,2)</f>
        <v/>
      </c>
      <c r="H56" s="9" t="inlineStr">
        <is>
          <t>理解产品和视频内容，编写准确且与画面对应的字幕，核对参数及表述，提供段落或时间对应并交付经确认的可用定稿。不包含完整视频脚本策划、拍摄、剪辑。直接使用已有字幕不计编写金额；同稿反复修改不另计，视频上传另按原规则。统一关联新品开发项目编号。共用调研、厂家或验证方案的多个尺寸/SKU不重复领取完整金额；确需独立完成的交付按确认范围计。等待厂家、催办、失败重试或修复本人错误不增加金额。负责人指定产品后的执行按倍率1；主动开发规则未另定，不自动给全部后续任务加倍。同一交付在调研、找厂、样品、资料整理及样品协调之间只计一次。
系列开发计酬：同一产品用途、核心设计和供应方案，仅尺寸、电压、颜色等参数不同且可共用交付的SKU，按一个系列开发项目登记，共用阶段只计一次，不按SKU数量乘开发总金额。参数变化本身不等于工作相同，涉及不同安全要求、功能、结构或性能验证时，应记录实际差异并事先确认独立工作范围。新SKU、新OA编号或跨月不自动构成新项目。详见“系列开发计酬”。</t>
        </is>
      </c>
      <c r="I56" s="3" t="inlineStr">
        <is>
          <t>编写并核验一份独立字幕稿25元；另上传1个视频15元：合计40元。</t>
        </is>
      </c>
    </row>
    <row r="57" ht="370" customHeight="1" s="1">
      <c r="A57" s="9" t="inlineStr">
        <is>
          <t>数据与经营分析</t>
        </is>
      </c>
      <c r="B57" s="9" t="inlineStr">
        <is>
          <t>利润或亏损原因分析与优化建议</t>
        </is>
      </c>
      <c r="C57" s="113" t="n">
        <v>30</v>
      </c>
      <c r="D57" s="82" t="n">
        <v>1</v>
      </c>
      <c r="E57" s="9" t="inlineStr">
        <is>
          <t>同一站点、一个ASIN、同一次独立利润问题分析：完整30元，初步15元。多个SKU对应同一ASIN不重复计费；多个ASIN共用同一份分析合并，分别独立分析并验收才分别计费。</t>
        </is>
      </c>
      <c r="F57" s="9" t="inlineStr">
        <is>
          <t>固定1.0；按实际验收档位及计费单位确定基础金额。</t>
        </is>
      </c>
      <c r="G57" s="115">
        <f>ROUND(C57*D57,2)</f>
        <v/>
      </c>
      <c r="H57" s="9" t="inlineStr">
        <is>
          <t>核查收入、售价与折扣、采购成本、运输及平台费用、广告、退货损失等相关因素，明确利润口径及对比期间，找出主要变化原因。必须给出有依据的优化建议，说明建议动作、预期作用、优先级及必要验证；不要求建议已执行或利润已改善。
按需指派，不设固定频次。完整分析30元；有数据证据但关键判断未核实，经负责人确认按初步成果结案计15元；仅转发报表或AI原文、无证据或无具体建议，退回补充，暂不结算。初步15元后补成完整分析只补15元，同一任务累计基础金额30元。不以篇幅长短判定；关键数据不可得须说明原因，不自动减半。独立分析与后续独立执行分别验收，相同分析若已包含在其他任务中不重复计酬。同一范围及期间的销量、利润和活动分析使用同一交付时只选一项，不按报告名称重复计费。本人责任纠错不另计酬。负责人安排倍率1；自主发起按未明确项目暂为1，不自行套用高倍率。</t>
        </is>
      </c>
      <c r="I57" s="3" t="inlineStr">
        <is>
          <t>完整报告30元；初步结案15元，之后补齐只补15元。分析完成后另行执行改价，按价格调整项目验收计酬。</t>
        </is>
      </c>
    </row>
    <row r="58" ht="370" customHeight="1" s="1">
      <c r="A58" s="9" t="inlineStr">
        <is>
          <t>数据与经营分析</t>
        </is>
      </c>
      <c r="B58" s="9" t="inlineStr">
        <is>
          <t>活动效果复盘</t>
        </is>
      </c>
      <c r="C58" s="113" t="n">
        <v>30</v>
      </c>
      <c r="D58" s="82" t="n">
        <v>1</v>
      </c>
      <c r="E58" s="9" t="inlineStr">
        <is>
          <t>同一站点、一个独立Coupon／Promotion／Deal活动、一次完整复盘：30元；初步15元。活动包含多个ASIN仍按一份复盘计费；若同一方案的多个活动共用一份报告，合并计费。</t>
        </is>
      </c>
      <c r="F58" s="9" t="inlineStr">
        <is>
          <t>固定1.0；按实际验收档位及计费单位确定基础金额。</t>
        </is>
      </c>
      <c r="G58" s="115">
        <f>ROUND(C58*D58,2)</f>
        <v/>
      </c>
      <c r="H58" s="9" t="inlineStr">
        <is>
          <t>对比活动前、活动期间及适当的后续期间，核查销量、流量、转化、优惠成本、活动费用、广告投入、利润及库存变化。记录同期价格、断货及其他促销影响，不将销售增长直接等同活动增量。给出继续、调整或停止建议及证据。
按需指派，不设固定频次。完整分析30元；有数据证据但关键判断未核实，经负责人确认按初步成果结案计15元；仅转发报表或AI原文、无证据或无具体建议，退回补充，暂不结算。初步15元后补成完整分析只补15元，同一任务累计基础金额30元。不以篇幅长短判定；关键数据不可得须说明原因，不自动减半。独立分析与后续独立执行分别验收，相同分析若已包含在其他任务中不重复计酬。同一范围及期间的销量、利润和活动分析使用同一交付时只选一项，不按报告名称重复计费。本人责任纠错不另计酬。负责人安排倍率1；自主发起按未明确项目暂为1，不自行套用高倍率。</t>
        </is>
      </c>
      <c r="I58" s="3" t="inlineStr">
        <is>
          <t>一场活动覆盖10个ASIN，完整复盘30元。创建活动的报酬按原规则，独立复盘另计；日常查看活动数据不逐次计费。</t>
        </is>
      </c>
    </row>
    <row r="59" ht="370" customHeight="1" s="1">
      <c r="A59" s="0" t="inlineStr">
        <is>
          <t>费用与异常处理</t>
        </is>
      </c>
      <c r="B59" s="0" t="inlineStr">
        <is>
          <t>费用异常核查与Case申诉</t>
        </is>
      </c>
      <c r="C59" s="117" t="n">
        <v>20</v>
      </c>
      <c r="D59" s="118" t="n">
        <v>1</v>
      </c>
      <c r="E59" s="0" t="inlineStr">
        <is>
          <t>20元/独立费用问题（含核查、证据整理、开Case及跟进）。同站点、同类收费原因且共用证据与处理过程的对象合并；不按ASIN、SKU、收费记录或Case数量累加。</t>
        </is>
      </c>
      <c r="F59" s="0" t="inlineStr">
        <is>
          <t>固定1.0；按实际验收档位及计费单位确定基础金额。</t>
        </is>
      </c>
      <c r="G59" s="114">
        <f>ROUND(C59*D59,2)</f>
        <v/>
      </c>
      <c r="H59" s="0" t="inlineStr">
        <is>
          <t>核对实际收费与对应商品尺寸、重量、适用计费依据或交易记录，整理费用差异及证据，提交Case并跟进回复、补充资料及核验处理结果。适用于商品尺寸重量引起的费用疑问或其他收费异常；不包含普通FBA货件问题。
包含异常核查、差额计算、证据整理、Case提交及补充跟进，不另叠加利润分析或Listing异常处理的相同交付。平台是否退款／更正与任务完成分别记录；处理完成并核验，或证据及回复完整且负责人确认阶段结案后计酬。仍处理中暂不结算，同一问题阶段结案后恢复或到账不重复计费。不以退款金额或催办次数加价。本人责任纠错不另计酬。负责人安排倍率1；主动发现并完成处理，按异常处理主动倍率1.5，即30元。</t>
        </is>
      </c>
      <c r="I59" s="0" t="inlineStr">
        <is>
          <t>同一费用问题多次开Case：仍20元。平台未支持申请，材料完整且负责人确认结案：20元；仍处理中暂不结算。</t>
        </is>
      </c>
    </row>
    <row r="60" ht="410" customHeight="1" s="1">
      <c r="A60" s="0" t="inlineStr">
        <is>
          <t>品牌保护</t>
        </is>
      </c>
      <c r="B60" s="0" t="inlineStr">
        <is>
          <t>跟卖监控</t>
        </is>
      </c>
      <c r="C60" s="118" t="n">
        <v>5</v>
      </c>
      <c r="D60" s="118" t="n">
        <v>1</v>
      </c>
      <c r="E60" s="0" t="inlineStr">
        <is>
          <t>5元/站点/约定监控清单/自然周。按完成的约定检查次数÷应检查次数折算；当周无任务为0。不得拆清单提高金额。</t>
        </is>
      </c>
      <c r="F60" s="0" t="inlineStr">
        <is>
          <t>固定1.0；按实际任务档位及单位计费。</t>
        </is>
      </c>
      <c r="G60" s="0">
        <f>ROUND(C60*D60,2)</f>
        <v/>
      </c>
      <c r="H60" s="0" t="inlineStr">
        <is>
          <t>按要求检查指定ASIN的其他报价及卖家变化，记录时间、ASIN、卖家标识、价格及可获得证据，发现疑似异常及时报告。
固定监控倍率1；程序自动监控且无需人工核验不计人工任务金额。未发现异常但完成约定核验仍可验收。监控记录与后续独立取证投诉可分别计费，同一发现不额外领取发现费。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I60" s="0" t="inlineStr">
        <is>
          <t>按周验收，无异常也可完成；本周全部检查完成5元。</t>
        </is>
      </c>
    </row>
    <row r="61" ht="410" customHeight="1" s="1">
      <c r="A61" s="49" t="inlineStr">
        <is>
          <t>品牌保护</t>
        </is>
      </c>
      <c r="B61" s="0" t="inlineStr">
        <is>
          <t>跟卖取证与举报／Case处理</t>
        </is>
      </c>
      <c r="C61" s="118" t="n">
        <v>30</v>
      </c>
      <c r="D61" s="118" t="n">
        <v>1</v>
      </c>
      <c r="E61" s="0" t="inlineStr">
        <is>
          <t>已有有效证据，完成核查、举报／Case及跟进：30元/独立案件；另需完成Test Buy取证全过程：整案50元。两档只取最高，先结30元后补足最多20元。</t>
        </is>
      </c>
      <c r="F61" s="0" t="inlineStr">
        <is>
          <t>固定1.0；按实际任务档位及单位计费。</t>
        </is>
      </c>
      <c r="G61" s="0">
        <f>ROUND(C61*D61,2)</f>
        <v/>
      </c>
      <c r="H61" s="0" t="inlineStr">
        <is>
          <t>核实疑似违规；确需Test Buy时经负责人确认采购及预算，跟进收货、保留订单与实物照片并核对差异。依据证据选择亚马逊举报、Case或Brand Registry适用渠道，跟进处理及报价状态。
站点＋被举报卖家＋同一违规事实及共用证据为案件范围；多ASIN共用证据处理时合并，多渠道或多Case不累加。存在其他报价不等于违规；不以未获品牌授权直接认定假货，不提交无依据投诉。下架后核验，或调查及跟进完整、负责人确认阶段结案后计酬；未下架不自动判定未完成。Test Buy未发现违规时提交证据与不投诉结论，可按实际取证范围由负责人结案，确已完成完整Test Buy调查可计50元。样品购买不叠加样品备货协调分；同一交付不叠加Buy Box或Listing申诉。主动发现并完成案件处理倍率1.5；仅例行监控后按既定职责处理，按正常履职确认来源。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I61" s="0" t="inlineStr">
        <is>
          <t>多渠道反复投诉仍30元；独立完成Test Buy取证及案件处理50元。实际货款运费另行处理。</t>
        </is>
      </c>
    </row>
    <row r="62" ht="410" customHeight="1" s="1">
      <c r="A62" s="50" t="inlineStr">
        <is>
          <t>品牌项目</t>
        </is>
      </c>
      <c r="B62" s="0" t="inlineStr">
        <is>
          <t>Vine报名与跟进</t>
        </is>
      </c>
      <c r="C62" s="118" t="n">
        <v>15</v>
      </c>
      <c r="D62" s="118" t="n">
        <v>1</v>
      </c>
      <c r="E62" s="0" t="inlineStr">
        <is>
          <t>15元/独立Vine报名项目。以后台报名记录去重，不按子SKU、领取件数或评论数量累加。</t>
        </is>
      </c>
      <c r="F62" s="0" t="inlineStr">
        <is>
          <t>固定1.0；按实际任务档位及单位计费。</t>
        </is>
      </c>
      <c r="G62" s="0">
        <f>ROUND(C62*D62,2)</f>
        <v/>
      </c>
      <c r="H62" s="0" t="inlineStr">
        <is>
          <t>核对参与资格、商品、库存、报名数量及费用，按确认方案报名，核验提交结果并记录约定跟进节点的领取和评论状态。
首次资格核查、报名、常规修正和约定节点跟进合并15元；派单时约定验收节点，不逐周重复收费。不以好评、星级或评论必然产生作为验收条件，不要求员工干预评论。平台报名费及赠送商品成本不含任务金额。早期评论人计划已停止，不设该项目任务。自主发起仍按未明确项目倍率1，后续另定不自动套高倍率。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I62" s="0" t="inlineStr">
        <is>
          <t>一个报名项目覆盖多个子SKU：15元；同一报名重复查看或修改不新增报酬。</t>
        </is>
      </c>
    </row>
    <row r="63" ht="410" customHeight="1" s="1">
      <c r="A63" s="0" t="inlineStr">
        <is>
          <t>品牌内容</t>
        </is>
      </c>
      <c r="B63" s="0" t="inlineStr">
        <is>
          <t>Brand Story品牌故事制作与维护</t>
        </is>
      </c>
      <c r="C63" s="118" t="n">
        <v>75</v>
      </c>
      <c r="D63" s="118" t="n">
        <v>1</v>
      </c>
      <c r="E63" s="0" t="inlineStr">
        <is>
          <t>全新策划或完全重做：75元/独立内容；局部修改：10元/同份同轮；仅为已有内容新增绑定：5元/ASIN。</t>
        </is>
      </c>
      <c r="F63" s="0" t="inlineStr">
        <is>
          <t>固定1.0；按实际任务档位及单位计费。</t>
        </is>
      </c>
      <c r="G63" s="0">
        <f>ROUND(C63*D63,2)</f>
        <v/>
      </c>
      <c r="H63" s="0" t="inlineStr">
        <is>
          <t>构思品牌故事、文案及图片要求，协调制作，设置卡片和链接、提交并核验；或按确认范围修改现有内容、维护ASIN绑定。
新建75元含策划、制作跟进、发布及首次绑定；同一内容多ASIN共用只计一次。局部修改不按卡片数量累加。新建或重做不叠加局部修改；同一份内容不再领取A+制作/修改或相同素材图片策划金额。不同的产品A+与品牌故事确有独立交付时可分别验收。自主实质重做有证据方案且完成复盘适用内容重写倍率2；自主局部维护或绑定倍率1.5；首次制作按发布核验，后续优化按复盘规则。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I63" s="0" t="inlineStr">
        <is>
          <t>同份品牌故事应用20个ASIN，新建合计75元；后续独立绑定3个ASIN计15元。</t>
        </is>
      </c>
    </row>
    <row r="64" ht="410" customHeight="1" s="1">
      <c r="A64" s="51" t="inlineStr">
        <is>
          <t>订阅销售</t>
        </is>
      </c>
      <c r="B64" s="51" t="inlineStr">
        <is>
          <t>Subscribe &amp; Save设置与管理</t>
        </is>
      </c>
      <c r="C64" s="119" t="n">
        <v>10</v>
      </c>
      <c r="D64" s="120" t="n">
        <v>1</v>
      </c>
      <c r="E64" s="51" t="inlineStr">
        <is>
          <t>同次安排、同站点、同一订阅方案的一批设置或更新：10元。包含多个ASIN或多个调整动作仍计一次。</t>
        </is>
      </c>
      <c r="F64" s="53" t="inlineStr">
        <is>
          <t>固定1.0；按实际任务档位及单位计费。</t>
        </is>
      </c>
      <c r="G64" s="53">
        <f>ROUND(C64*D64,2)</f>
        <v/>
      </c>
      <c r="H64" s="52" t="inlineStr">
        <is>
          <t>核对后台可参与商品及资格，按负责人确认方案加入或退出商品、设置或调整订阅优惠，并核验参与状态、折扣及生效情况。
不按SKU、订阅订单或设置次数累加；不把平台自动加入、自动折扣或无需人工的变化当作任务。默认按确认方案执行；员工主动发现独立机会并完成，经认定可按促销执行倍率1.5。设置已含的参数修正不另计，不与同一价格或促销交付重复计费。不以产生订阅订单作为执行验收条件。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I64" s="0" t="inlineStr">
        <is>
          <t>同批10个ASIN加入并设折扣：10元；主动任务符合1.5倍时15元。</t>
        </is>
      </c>
    </row>
    <row r="65" ht="410" customHeight="1" s="1">
      <c r="A65" s="54" t="inlineStr">
        <is>
          <t>组合销售</t>
        </is>
      </c>
      <c r="B65" s="28" t="inlineStr">
        <is>
          <t>Virtual Bundle创建与维护</t>
        </is>
      </c>
      <c r="C65" s="119" t="n">
        <v>25</v>
      </c>
      <c r="D65" s="121" t="n">
        <v>1</v>
      </c>
      <c r="E65" s="28" t="inlineStr">
        <is>
          <t>新建：25元/独立虚拟捆绑商品；已有捆绑同轮内容或可编辑设置维护：10元/个。</t>
        </is>
      </c>
      <c r="F65" s="53" t="inlineStr">
        <is>
          <t>固定1.0；按实际任务档位及单位计费。</t>
        </is>
      </c>
      <c r="G65" s="53">
        <f>ROUND(C65*D65,2)</f>
        <v/>
      </c>
      <c r="H65" s="52" t="inlineStr">
        <is>
          <t>核对后台资格及组成商品，按确认组合填写文案、图片、价格等可编辑资料，创建并核验；维护时按后台实际允许的字段更新及核验。
新建包含初始配置、提交、常规报错修正及核验，不再叠加普通Listing创建、初始文案填入或图片上传。需要独立原创内容或素材策划且不属创建中已有资料改写时，按对应独立交付验收，相同工作只计一次。FBA虚拟组合不计重新包装或实物发货任务。不得通过重复建立相同组合、删后重建或拆分任务增加金额；后台不允许编辑的组成变更须先确认方案。主动专项倍率暂按未明确项目1。
以下金额为内部试行任务报酬，不含平台费用、样品货款、运费及其他实际支出，实际支出按公司流程另行审批报销。本人责任纠错、失败重试及同一交付不重复计费。仅按目标站点及账户实际开放且符合资格的项目执行；未完成核验暂不结算。</t>
        </is>
      </c>
      <c r="I65" s="0" t="inlineStr">
        <is>
          <t>新建1个虚拟组合25元；同组合本轮改标题和价格合计10元；新建时这些初始配置不另加10元。</t>
        </is>
      </c>
    </row>
    <row r="66" ht="17.64999961853027" customHeight="1" s="1">
      <c r="A66" s="54" t="n"/>
      <c r="B66" s="28" t="n"/>
      <c r="C66" s="52" t="n"/>
      <c r="D66" s="55" t="n"/>
      <c r="E66" s="28" t="n"/>
      <c r="F66" s="53" t="n"/>
      <c r="G66" s="53" t="n"/>
      <c r="H66" s="52" t="n"/>
    </row>
    <row r="67" ht="17.64999961853027" customHeight="1" s="1">
      <c r="A67" s="54" t="n"/>
      <c r="B67" s="28" t="n"/>
      <c r="C67" s="52" t="n"/>
      <c r="D67" s="55" t="n"/>
      <c r="E67" s="28" t="n"/>
      <c r="F67" s="53" t="n"/>
      <c r="G67" s="53" t="n"/>
      <c r="H67" s="52" t="n"/>
    </row>
    <row r="68" ht="17.64999961853027" customHeight="1" s="1">
      <c r="A68" s="54" t="n"/>
      <c r="B68" s="28" t="n"/>
      <c r="C68" s="52" t="n"/>
      <c r="D68" s="55" t="n"/>
      <c r="E68" s="28" t="n"/>
      <c r="F68" s="53" t="n"/>
      <c r="G68" s="53" t="n"/>
      <c r="H68" s="52" t="n"/>
    </row>
    <row r="69" ht="25.89999961853027" customHeight="1" s="1">
      <c r="A69" s="54" t="n"/>
      <c r="B69" s="28" t="n"/>
      <c r="C69" s="52" t="n"/>
      <c r="D69" s="55" t="n"/>
      <c r="E69" s="28" t="n"/>
      <c r="F69" s="53" t="n"/>
      <c r="G69" s="53" t="n"/>
      <c r="H69" s="52" t="n"/>
    </row>
    <row r="70" ht="25.5" customHeight="1" s="1">
      <c r="A70" s="54" t="n"/>
      <c r="B70" s="28" t="n"/>
      <c r="C70" s="52" t="n"/>
      <c r="D70" s="55" t="n"/>
      <c r="E70" s="28" t="n"/>
      <c r="F70" s="53" t="n"/>
      <c r="G70" s="53" t="n"/>
      <c r="H70" s="52" t="n"/>
    </row>
    <row r="71" ht="15" customHeight="1" s="1">
      <c r="A71" s="54" t="inlineStr">
        <is>
          <t>主动执行倍率规则</t>
        </is>
      </c>
      <c r="B71" s="28" t="n"/>
      <c r="C71" s="52" t="n"/>
      <c r="D71" s="55" t="n"/>
      <c r="E71" s="28" t="n"/>
      <c r="F71" s="53" t="n"/>
      <c r="G71" s="53" t="n"/>
      <c r="H71" s="52" t="n"/>
      <c r="I71" s="0" t="n"/>
    </row>
    <row r="72" ht="63.75" customHeight="1" s="1">
      <c r="A72" s="54" t="inlineStr">
        <is>
          <t>主动任务金额 ＝ 正常任务金额 × 主动倍率。主动执行指员工自主发现问题或机会并发起处理，非负责人安排。</t>
        </is>
      </c>
      <c r="B72" s="28" t="n"/>
      <c r="C72" s="52" t="n"/>
      <c r="D72" s="55" t="n"/>
      <c r="E72" s="28" t="n"/>
      <c r="F72" s="53" t="n"/>
      <c r="G72" s="53" t="n"/>
      <c r="H72" s="52" t="n"/>
      <c r="I72" s="0" t="n"/>
    </row>
    <row r="73" ht="17.64999961853027" customHeight="1" s="1">
      <c r="A73" s="54" t="n"/>
      <c r="B73" s="28" t="n"/>
      <c r="C73" s="52" t="n"/>
      <c r="D73" s="55" t="n"/>
      <c r="E73" s="28" t="n"/>
      <c r="F73" s="53" t="n"/>
      <c r="G73" s="53" t="n"/>
      <c r="H73" s="52" t="n"/>
      <c r="I73" s="0" t="n"/>
    </row>
    <row r="74" ht="13.10000038146973" customHeight="1" s="1">
      <c r="A74" s="54" t="inlineStr">
        <is>
          <t>工作分类</t>
        </is>
      </c>
      <c r="B74" s="28" t="inlineStr">
        <is>
          <t>对应项目</t>
        </is>
      </c>
      <c r="C74" s="52" t="n"/>
      <c r="D74" s="55" t="inlineStr">
        <is>
          <t>主动倍率</t>
        </is>
      </c>
      <c r="E74" s="28" t="inlineStr">
        <is>
          <t>认定条件</t>
        </is>
      </c>
      <c r="F74" s="53" t="n"/>
      <c r="G74" s="53" t="n"/>
      <c r="H74" s="52" t="n"/>
      <c r="I74" s="0" t="n"/>
    </row>
    <row r="75" ht="17.64999961853027" customHeight="1" s="1">
      <c r="A75" s="54" t="inlineStr">
        <is>
          <t>Listing内容实质重写</t>
        </is>
      </c>
      <c r="B75" s="28" t="inlineStr">
        <is>
          <t>标题编写与优化、五点编写与优化、描述编写与优化、Generic Keywords编写与优化、全新制作或完全重做A+</t>
        </is>
      </c>
      <c r="C75" s="52" t="n"/>
      <c r="D75" s="55" t="inlineStr">
        <is>
          <t>×2</t>
        </is>
      </c>
      <c r="E75" s="28" t="inlineStr">
        <is>
          <t>主动分析问题、提出方案，实际重写或重做并完成复盘。单纯纠错、翻译、上传已有内容不属于此档。</t>
        </is>
      </c>
      <c r="F75" s="53" t="n"/>
      <c r="G75" s="53" t="n"/>
      <c r="H75" s="52" t="n"/>
      <c r="I75" s="0" t="n"/>
    </row>
    <row r="76" ht="17.64999961853027" customHeight="1" s="1">
      <c r="A76" s="0" t="inlineStr">
        <is>
          <t>广告新建</t>
        </is>
      </c>
      <c r="B76" s="0" t="inlineStr">
        <is>
          <t>SP广告创建、SB广告创建、SBV广告创建、SD广告创建</t>
        </is>
      </c>
      <c r="D76" s="0" t="inlineStr">
        <is>
          <t>×2</t>
        </is>
      </c>
      <c r="E76" s="0" t="inlineStr">
        <is>
          <t>主动提出投放机会，说明产品、投放方向及测试目标，完成创建和复盘。复制已有Campaign不能仅凭新建数量拿双倍。</t>
        </is>
      </c>
      <c r="I76" s="0" t="n"/>
    </row>
    <row r="77" ht="17.64999961853027" customHeight="1" s="1">
      <c r="A77" s="56" t="inlineStr">
        <is>
          <t>广告调整</t>
        </is>
      </c>
      <c r="B77" s="0" t="inlineStr">
        <is>
          <t>广告执行调整（涵盖关键词、否定词、产品归组、ASIN投放、Bid调整）</t>
        </is>
      </c>
      <c r="D77" s="0" t="inlineStr">
        <is>
          <t>×1</t>
        </is>
      </c>
      <c r="E77" s="0" t="inlineStr">
        <is>
          <t>有依据并完成核验。每Campaign每自然周最多计2次，跨人员、跨发起来源合并统计。可关联多条Ads Change。</t>
        </is>
      </c>
      <c r="I77" s="0" t="n"/>
    </row>
    <row r="78" ht="17.64999961853027" customHeight="1" s="1">
      <c r="A78" s="50" t="inlineStr">
        <is>
          <t>异常处理／申诉</t>
        </is>
      </c>
      <c r="B78" s="0" t="inlineStr">
        <is>
          <t>Listing异常申诉与Case处理、Buy Box异常处理、Brand Store提交阻断问题处理、费用异常核查与Case申诉</t>
        </is>
      </c>
      <c r="D78" s="0" t="inlineStr">
        <is>
          <t>×1.5</t>
        </is>
      </c>
      <c r="E78" s="0" t="inlineStr">
        <is>
          <t>主动发现、及时记录并推动处理；同一问题反复提交只计一次。</t>
        </is>
      </c>
      <c r="I78" s="0" t="n"/>
    </row>
    <row r="79" ht="25.89999961853027" customHeight="1" s="1">
      <c r="A79" s="50" t="inlineStr">
        <is>
          <t>Listing事实纠错及局部维护</t>
        </is>
      </c>
      <c r="B79" s="0" t="inlineStr">
        <is>
          <t>Listing纠错、A+内容增删修改、图片维护、视频上传与信息维护、变体关系维护</t>
        </is>
      </c>
      <c r="D79" s="0" t="inlineStr">
        <is>
          <t>×1.5</t>
        </is>
      </c>
      <c r="E79" s="0" t="inlineStr">
        <is>
          <t>主动发现并完成纠正或维护。事实纠错≠内容实质重写，不适用×2。</t>
        </is>
      </c>
      <c r="I79" s="0" t="n"/>
    </row>
    <row r="80" ht="25.5" customHeight="1" s="1">
      <c r="A80" s="50" t="inlineStr">
        <is>
          <t>价格／促销／库存等执行类</t>
        </is>
      </c>
      <c r="B80" s="0" t="inlineStr">
        <is>
          <t>价格调整、Coupon与Promotion创建、Deal活动提报、库存移除／Relist／申诉／资料提交</t>
        </is>
      </c>
      <c r="D80" s="0" t="inlineStr">
        <is>
          <t>×1.5</t>
        </is>
      </c>
      <c r="E80" s="0" t="inlineStr">
        <is>
          <t>主动发现具体问题或机会，提出合理措施并完成处理。</t>
        </is>
      </c>
      <c r="I80" s="0" t="n"/>
    </row>
    <row r="81" ht="17.64999961853027" customHeight="1" s="1">
      <c r="A81" s="0" t="inlineStr">
        <is>
          <t>Brand Store维护</t>
        </is>
      </c>
      <c r="B81" s="0" t="inlineStr">
        <is>
          <t>二级类目商品维护、二级类目模块新增或重建</t>
        </is>
      </c>
      <c r="D81" s="0" t="inlineStr">
        <is>
          <t>×1.5</t>
        </is>
      </c>
      <c r="E81" s="0" t="inlineStr">
        <is>
          <t>主动发现维护需求并完成更新。</t>
        </is>
      </c>
      <c r="I81" s="0" t="n"/>
    </row>
    <row r="82" ht="17.64999961853027" customHeight="1" s="1">
      <c r="A82" s="56" t="inlineStr">
        <is>
          <t>新品开发</t>
        </is>
      </c>
      <c r="B82" s="0" t="inlineStr">
        <is>
          <t>市场调研与产品建议、厂家筛选报价与合作条件确认、样品评估及问题跟进</t>
        </is>
      </c>
      <c r="D82" s="0" t="inlineStr">
        <is>
          <t>×1.5</t>
        </is>
      </c>
      <c r="E82" s="0" t="inlineStr">
        <is>
          <t>主动发起开发选题，完成调研、找厂或样品验证的完整阶段交付并通过验收。仅执行已安排任务不属于此档。</t>
        </is>
      </c>
      <c r="I82" s="0" t="n"/>
    </row>
    <row r="83" ht="17.64999961853027" customHeight="1" s="1">
      <c r="A83" s="50" t="inlineStr">
        <is>
          <t>产品内容策划</t>
        </is>
      </c>
      <c r="B83" s="0" t="inlineStr">
        <is>
          <t>产品资料整理与确认、产品图片策划、视频字幕文案编写</t>
        </is>
      </c>
      <c r="D83" s="0" t="inlineStr">
        <is>
          <t>×1.5</t>
        </is>
      </c>
      <c r="E83" s="0" t="inlineStr">
        <is>
          <t>主动发起内容准备工作并完成交付。仅复制整理现成资料、使用已有字幕不属于此档。</t>
        </is>
      </c>
      <c r="I83" s="0" t="n"/>
    </row>
    <row r="84">
      <c r="A84" s="50" t="inlineStr">
        <is>
          <t>数据与经营分析</t>
        </is>
      </c>
      <c r="B84" s="0" t="inlineStr">
        <is>
          <t>利润或亏损原因分析与优化建议、活动效果复盘</t>
        </is>
      </c>
      <c r="D84" s="0" t="inlineStr">
        <is>
          <t>×1.5</t>
        </is>
      </c>
      <c r="E84" s="0" t="inlineStr">
        <is>
          <t>主动发现经营问题或活动复盘需求，完成分析并提出有依据的建议。仅执行已安排的分析不属于此档。</t>
        </is>
      </c>
    </row>
    <row r="85" ht="13.10000038146973" customHeight="1" s="1">
      <c r="A85" s="50" t="inlineStr">
        <is>
          <t>品牌保护—监控</t>
        </is>
      </c>
      <c r="B85" s="0" t="inlineStr">
        <is>
          <t>跟卖监控</t>
        </is>
      </c>
      <c r="D85" s="0" t="inlineStr">
        <is>
          <t>×1</t>
        </is>
      </c>
      <c r="E85" s="0" t="inlineStr">
        <is>
          <t>固定巡检任务，不享受主动倍率。程序自动监控且无需人工核验不计人工任务金额。</t>
        </is>
      </c>
    </row>
    <row r="86" ht="12.75" customHeight="1" s="1">
      <c r="A86" s="50" t="inlineStr">
        <is>
          <t>品牌保护—取证与投诉</t>
        </is>
      </c>
      <c r="B86" s="0" t="inlineStr">
        <is>
          <t>跟卖取证与举报／Case处理</t>
        </is>
      </c>
      <c r="D86" s="0" t="inlineStr">
        <is>
          <t>×1.5</t>
        </is>
      </c>
      <c r="E86" s="0" t="inlineStr">
        <is>
          <t>主动发现跟卖并发起取证投诉流程；正常履职的定期排查结果按×1。报酬与Test Buy货款运费分开。</t>
        </is>
      </c>
    </row>
    <row r="87" ht="12.75" customHeight="1" s="1">
      <c r="A87" s="50" t="inlineStr">
        <is>
          <t>品牌内容策划</t>
        </is>
      </c>
      <c r="B87" s="0" t="inlineStr">
        <is>
          <t>Brand Story品牌故事制作与维护</t>
        </is>
      </c>
      <c r="D87" s="122" t="inlineStr">
        <is>
          <t>实质重做×2
局部维护／绑定×1.5</t>
        </is>
      </c>
      <c r="E87" s="0" t="inlineStr">
        <is>
          <t>全新策划或完全重做按×2（同Listing内容实质重写标准）；局部修改或新增ASIN绑定按×1.5。</t>
        </is>
      </c>
    </row>
    <row r="88" ht="12.75" customHeight="1" s="1">
      <c r="A88" s="50" t="inlineStr">
        <is>
          <t>订阅销售</t>
        </is>
      </c>
      <c r="B88" s="0" t="inlineStr">
        <is>
          <t>Subscribe &amp; Save设置与管理</t>
        </is>
      </c>
      <c r="D88" s="0" t="inlineStr">
        <is>
          <t>×1.5</t>
        </is>
      </c>
      <c r="E88" s="0" t="inlineStr">
        <is>
          <t>主动发现可参与商品或优化订阅方案并完成设置。按已安排方案执行不属于此档。</t>
        </is>
      </c>
    </row>
    <row r="89">
      <c r="A89" s="50" t="inlineStr">
        <is>
          <t>组合销售与品牌项目</t>
        </is>
      </c>
      <c r="B89" s="0" t="inlineStr">
        <is>
          <t>Virtual Bundle创建与维护、Vine报名与跟进</t>
        </is>
      </c>
      <c r="D89" s="0" t="inlineStr">
        <is>
          <t>×1</t>
        </is>
      </c>
      <c r="E89" s="0" t="inlineStr">
        <is>
          <t>按确认方案执行并验收。Virtual Bundle和Vine均为执行类任务，暂不设主动倍率加成。</t>
        </is>
      </c>
    </row>
    <row r="90" ht="13.10000038146973" customHeight="1" s="1">
      <c r="A90" s="123" t="inlineStr">
        <is>
          <t>固定例行工作</t>
        </is>
      </c>
      <c r="B90" s="0" t="inlineStr">
        <is>
          <t>VOC数据更新与AI分析、Category Report下载、关键词市场占有率统计及竞品检查、A+翻译后发布、翻译后批量更新Listing文案</t>
        </is>
      </c>
      <c r="D90" s="0" t="inlineStr">
        <is>
          <t>×1</t>
        </is>
      </c>
      <c r="E90" s="0" t="inlineStr">
        <is>
          <t>固定周期或已有内容的翻译发布任务，不享受主动倍率。</t>
        </is>
      </c>
      <c r="I90" s="0" t="n"/>
    </row>
    <row r="91" ht="140" customHeight="1" s="1">
      <c r="A91" s="123" t="inlineStr">
        <is>
          <t>未明确列入的项目</t>
        </is>
      </c>
      <c r="B91" s="0" t="inlineStr">
        <is>
          <t>（暂按×1，不自行套用高倍率）</t>
        </is>
      </c>
      <c r="D91" s="0" t="inlineStr">
        <is>
          <t>×1</t>
        </is>
      </c>
      <c r="E91" s="0" t="inlineStr">
        <is>
          <t>如有争议，由负责人认定适用分类。</t>
        </is>
      </c>
      <c r="I91" s="0" t="n"/>
    </row>
    <row r="92">
      <c r="A92" s="0" t="n"/>
      <c r="I92" s="0" t="n"/>
    </row>
    <row r="93">
      <c r="A93" s="0" t="inlineStr">
        <is>
          <t>边界规则</t>
        </is>
      </c>
      <c r="I93" s="0" t="n"/>
    </row>
    <row r="94">
      <c r="A94" s="0" t="inlineStr">
        <is>
          <t>① 主动发现后及时登记即可，不要求处理完才申报。提出方案后经负责人批准执行，仍算主动；隐瞒或拖延已知问题不享受倍率。</t>
        </is>
      </c>
      <c r="I94" s="0" t="n"/>
    </row>
    <row r="95" ht="60" customHeight="1" s="1">
      <c r="A95" s="0" t="inlineStr">
        <is>
          <t>② 固定巡检、例行维护、已被安排的任务，以及修复本人错误，不享受主动倍率。</t>
        </is>
      </c>
    </row>
    <row r="96">
      <c r="A96" s="0" t="inlineStr">
        <is>
          <t>③ 同一工作只计算一次乘倍率后的金额，不再另加正常金额。未完成处理及必要核验的，先保留记录，不提前领取完整金额。</t>
        </is>
      </c>
      <c r="I96" s="0" t="n"/>
    </row>
    <row r="97">
      <c r="A97" s="0" t="n"/>
      <c r="I97" s="0" t="n"/>
    </row>
    <row r="98">
      <c r="A98" s="0" t="inlineStr">
        <is>
          <t>广告调整频次限制</t>
        </is>
      </c>
      <c r="B98" s="0" t="n"/>
      <c r="C98" s="0" t="n"/>
      <c r="D98" s="0" t="n"/>
      <c r="E98" s="0" t="n"/>
      <c r="F98" s="0" t="n"/>
      <c r="G98" s="0" t="n"/>
      <c r="H98" s="0" t="n"/>
      <c r="I98" s="0" t="n"/>
    </row>
    <row r="99">
      <c r="A99" s="0" t="inlineStr">
        <is>
          <t>同一广告账户、同一站点、同一Campaign，每自然周最多结算2次，每次10元、每周最高20元；负责人安排和员工主动执行合并统计，多人参与不增加次数。同一次调整可关联多条Ads Change。超出次数的必要调整仍须执行，但不另结算。
示例：同周A有效调整2次、B调整1次、C调整3次，分别20元、10元、20元，合计50元。</t>
        </is>
      </c>
      <c r="B99" s="0" t="n"/>
      <c r="C99" s="0" t="n"/>
      <c r="D99" s="0" t="n"/>
      <c r="E99" s="0" t="n"/>
      <c r="F99" s="0" t="n"/>
      <c r="G99" s="0" t="n"/>
      <c r="H99" s="0" t="n"/>
      <c r="I99" s="0" t="n"/>
    </row>
    <row r="101">
      <c r="A101" s="133" t="n"/>
    </row>
  </sheetData>
  <mergeCells count="36">
    <mergeCell ref="B91:C91"/>
    <mergeCell ref="B90:C90"/>
    <mergeCell ref="B81:C81"/>
    <mergeCell ref="E91:H91"/>
    <mergeCell ref="E85:H85"/>
    <mergeCell ref="E76:H76"/>
    <mergeCell ref="E81:H81"/>
    <mergeCell ref="E75:H75"/>
    <mergeCell ref="B77:C77"/>
    <mergeCell ref="B79:C79"/>
    <mergeCell ref="B86:C86"/>
    <mergeCell ref="B88:C88"/>
    <mergeCell ref="B82:C82"/>
    <mergeCell ref="B87:C87"/>
    <mergeCell ref="B78:C78"/>
    <mergeCell ref="E83:H83"/>
    <mergeCell ref="E79:H79"/>
    <mergeCell ref="E88:H88"/>
    <mergeCell ref="E82:H82"/>
    <mergeCell ref="B84:C84"/>
    <mergeCell ref="E87:H87"/>
    <mergeCell ref="B83:C83"/>
    <mergeCell ref="B74:C74"/>
    <mergeCell ref="E84:H84"/>
    <mergeCell ref="E78:H78"/>
    <mergeCell ref="E80:H80"/>
    <mergeCell ref="B80:C80"/>
    <mergeCell ref="B76:C76"/>
    <mergeCell ref="E74:H74"/>
    <mergeCell ref="B89:C89"/>
    <mergeCell ref="B85:C85"/>
    <mergeCell ref="E90:H90"/>
    <mergeCell ref="E86:H86"/>
    <mergeCell ref="E77:H77"/>
    <mergeCell ref="E89:H89"/>
    <mergeCell ref="B75:C75"/>
  </mergeCells>
  <dataValidations count="4">
    <dataValidation sqref="D8 D20 D24 D41:D42" showDropDown="0" showInputMessage="0" showErrorMessage="0" allowBlank="0" type="list">
      <formula1>"1,1.3,1.6"</formula1>
    </dataValidation>
    <dataValidation sqref="D9 D21" showDropDown="0" showInputMessage="0" showErrorMessage="0" allowBlank="0" type="list">
      <formula1>"1,1.3"</formula1>
    </dataValidation>
    <dataValidation sqref="D10:D19 D22:D23 D25:D40 D43:D49 D50 D51 D52 D53 D54 D55 D56"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heetView>
  </sheetViews>
  <sheetFormatPr baseColWidth="8" defaultColWidth="9" defaultRowHeight="13.5"/>
  <cols>
    <col width="24" customWidth="1" style="1" min="1" max="1"/>
    <col width="51" customWidth="1" style="1" min="2" max="2"/>
    <col width="13" customWidth="1" style="1" min="3" max="3"/>
    <col width="47" customWidth="1" style="1" min="4" max="4"/>
    <col width="58" customWidth="1" style="1" min="5" max="5"/>
  </cols>
  <sheetData>
    <row r="1">
      <c r="A1" s="33" t="n"/>
      <c r="B1" s="33" t="n"/>
      <c r="C1" s="33" t="n"/>
      <c r="D1" s="33" t="n"/>
      <c r="E1" s="33" t="n"/>
    </row>
    <row r="2" ht="24" customHeight="1" s="1">
      <c r="A2" s="6" t="inlineStr">
        <is>
          <t>主动改善评价与计费规则</t>
        </is>
      </c>
      <c r="B2" s="33" t="n"/>
      <c r="C2" s="33" t="n"/>
      <c r="D2" s="33" t="n"/>
      <c r="E2" s="33" t="n"/>
    </row>
    <row r="3" ht="24" customHeight="1" s="1">
      <c r="A3" s="34" t="inlineStr">
        <is>
          <t>主动任务不设独立案例奖金档位。正常任务金额＝累计基础金额×难度系数；主动任务金额＝正常任务金额×适用主动倍率。同一任务只结算一次，行为层次只用于认定，不产生额外金额。</t>
        </is>
      </c>
      <c r="B3" s="33" t="n"/>
      <c r="C3" s="33" t="n"/>
      <c r="D3" s="33" t="n"/>
      <c r="E3" s="33" t="n"/>
    </row>
    <row r="4" ht="75" customHeight="1" s="1">
      <c r="A4" s="33" t="inlineStr">
        <is>
          <t>按实际发起来源选择唯一计费路径：负责人安排的工作计任务金额；员工自主发现并发起的改善按正常任务金额×主动倍率计算，不再叠加任务金额。员工先提出建议、经负责人批准后执行，仍属主动改善；补建任务或认领变化不改变来源。 案例继续在现有主动改善页面记录，并关联任务编号。</t>
        </is>
      </c>
      <c r="B4" s="33" t="n"/>
      <c r="C4" s="33" t="n"/>
      <c r="D4" s="33" t="n"/>
      <c r="E4" s="33" t="n"/>
    </row>
    <row r="5" ht="24" customHeight="1" s="1">
      <c r="A5" s="33" t="inlineStr">
        <is>
          <t>下表定义行为层次，仅用于判断主动行为是否成立及深度（发现→解决→持续改善），不产生独立金额。认定成立后，按对应工作项目的正常任务金额×主动倍率结算。</t>
        </is>
      </c>
      <c r="B5" s="33" t="n"/>
      <c r="C5" s="33" t="n"/>
      <c r="D5" s="33" t="n"/>
      <c r="E5" s="33" t="n"/>
    </row>
    <row r="6" ht="26" customHeight="1" s="1">
      <c r="A6" s="35" t="inlineStr">
        <is>
          <t>一、案例等级</t>
        </is>
      </c>
      <c r="B6" s="33" t="n"/>
      <c r="C6" s="33" t="n"/>
      <c r="D6" s="33" t="n"/>
      <c r="E6" s="33" t="n"/>
    </row>
    <row r="7" ht="30" customHeight="1" s="1">
      <c r="A7" s="36" t="inlineStr">
        <is>
          <t>评价档位</t>
        </is>
      </c>
      <c r="B7" s="36" t="inlineStr">
        <is>
          <t>认定标准</t>
        </is>
      </c>
      <c r="C7" s="36" t="inlineStr">
        <is>
          <t>行为层次</t>
        </is>
      </c>
      <c r="D7" s="36" t="inlineStr">
        <is>
          <t>必要记录</t>
        </is>
      </c>
      <c r="E7" s="36" t="inlineStr">
        <is>
          <t>验收及计费说明</t>
        </is>
      </c>
    </row>
    <row r="8" ht="78" customHeight="1" s="1">
      <c r="A8" s="37" t="inlineStr">
        <is>
          <t>有效发现</t>
        </is>
      </c>
      <c r="B8" s="37" t="inlineStr">
        <is>
          <t>员工自主发现真实问题，提供证据及可执行建议；问题经确认，建议被采纳。</t>
        </is>
      </c>
      <c r="C8" s="88" t="inlineStr">
        <is>
          <t>第一层</t>
        </is>
      </c>
      <c r="D8" s="37" t="inlineStr">
        <is>
          <t>问题对象、发现时间、事实或数据依据、建议措施、确认及采纳记录。</t>
        </is>
      </c>
      <c r="E8" s="37" t="inlineStr">
        <is>
          <t>尚未实施也可认定本层；只指出问题、无可执行建议，或未获确认采纳的，暂不认定。认定为"有效发现"只确认主动来源，不代表可以结算；完成对应工作及必要核验后，才按倍率计费。</t>
        </is>
      </c>
    </row>
    <row r="9" ht="78" customHeight="1" s="1">
      <c r="A9" s="37" t="inlineStr">
        <is>
          <t>推动解决</t>
        </is>
      </c>
      <c r="B9" s="37" t="inlineStr">
        <is>
          <t>在有效发现基础上，完成职责范围内的处理、协调及结果核验。</t>
        </is>
      </c>
      <c r="C9" s="88" t="inlineStr">
        <is>
          <t>第二层</t>
        </is>
      </c>
      <c r="D9" s="37" t="inlineStr">
        <is>
          <t>关联任务编号、处理措施、授权或批准记录（适用时）、执行及核验结果。</t>
        </is>
      </c>
      <c r="E9" s="37" t="inlineStr">
        <is>
          <t>纠错以恢复正确状态为准，不强求销售增长；协调任务按事先约定的职责节点验收，纯转发或催办不够。</t>
        </is>
      </c>
    </row>
    <row r="10" ht="78" customHeight="1" s="1">
      <c r="A10" s="37" t="inlineStr">
        <is>
          <t>形成持续改善</t>
        </is>
      </c>
      <c r="B10" s="37" t="inlineStr">
        <is>
          <t>在解决问题基础上，形成可复用规则、预警或流程，减少同类问题再次发生，并有验证记录。</t>
        </is>
      </c>
      <c r="C10" s="88" t="inlineStr">
        <is>
          <t>第三层</t>
        </is>
      </c>
      <c r="D10" s="37" t="inlineStr">
        <is>
          <t>规则或流程版本、适用范围、落实记录、验证方法及结果。</t>
        </is>
      </c>
      <c r="E10" s="37" t="inlineStr">
        <is>
          <t>只有建议或文档、尚未实施验证的，不认定本层；同一问题的发现、解决和持续改善取最深层次，不逐层累加。</t>
        </is>
      </c>
    </row>
    <row r="11">
      <c r="A11" s="33" t="n"/>
      <c r="B11" s="33" t="n"/>
      <c r="C11" s="33" t="n"/>
      <c r="D11" s="33" t="n"/>
      <c r="E11" s="33" t="n"/>
    </row>
    <row r="12" ht="26" customHeight="1" s="1">
      <c r="A12" s="35" t="inlineStr">
        <is>
          <t>二、主动贡献认定边界</t>
        </is>
      </c>
      <c r="B12" s="33" t="n"/>
      <c r="C12" s="33" t="n"/>
      <c r="D12" s="33" t="n"/>
      <c r="E12" s="33" t="n"/>
    </row>
    <row r="13" ht="30" customHeight="1" s="1">
      <c r="A13" s="36" t="inlineStr">
        <is>
          <t>场景</t>
        </is>
      </c>
      <c r="B13" s="36" t="inlineStr">
        <is>
          <t>判断规则</t>
        </is>
      </c>
      <c r="C13" s="36" t="inlineStr">
        <is>
          <t>主动金额</t>
        </is>
      </c>
      <c r="D13" s="36" t="inlineStr">
        <is>
          <t>必要记录</t>
        </is>
      </c>
      <c r="E13" s="36" t="inlineStr">
        <is>
          <t>任务金额处理</t>
        </is>
      </c>
    </row>
    <row r="14" ht="78" customHeight="1" s="1">
      <c r="A14" s="37" t="inlineStr">
        <is>
          <t>系统或负责人已下发</t>
        </is>
      </c>
      <c r="B14" s="37" t="inlineStr">
        <is>
          <t>问题及处理要求已明确，员工按任务要求完成。</t>
        </is>
      </c>
      <c r="C14" s="39" t="inlineStr">
        <is>
          <t>不计</t>
        </is>
      </c>
      <c r="D14" s="37" t="inlineStr">
        <is>
          <t>任务来源、下发时间及执行记录。</t>
        </is>
      </c>
      <c r="E14" s="37" t="inlineStr">
        <is>
          <t>对应任务通过验收后正常计费；主动领取既有任务不等于自主发现。</t>
        </is>
      </c>
    </row>
    <row r="15" ht="78" customHeight="1" s="1">
      <c r="A15" s="37" t="inlineStr">
        <is>
          <t>例行巡检与常规处理</t>
        </is>
      </c>
      <c r="B15" s="37" t="inlineStr">
        <is>
          <t>巡检本属职责，发现常规问题并按既定标准处理。</t>
        </is>
      </c>
      <c r="C15" s="39" t="inlineStr">
        <is>
          <t>通常不计</t>
        </is>
      </c>
      <c r="D15" s="37" t="inlineStr">
        <is>
          <t>巡检职责及处理标准；若有额外贡献，提交对应证据。</t>
        </is>
      </c>
      <c r="E15" s="37" t="inlineStr">
        <is>
          <t>常规职责内的工作仍属正常履职，不因员工自行分析就变成主动改善。另有自主发现、独立发起的改善，须单独确认范围；同一交付不同时计任务金额与主动金额。</t>
        </is>
      </c>
    </row>
    <row r="16" ht="78" customHeight="1" s="1">
      <c r="A16" s="37" t="inlineStr">
        <is>
          <t>独立发现有效问题</t>
        </is>
      </c>
      <c r="B16" s="37" t="inlineStr">
        <is>
          <t>系统或负责人尚未指出，员工独立发现并提出可执行建议。</t>
        </is>
      </c>
      <c r="C16" s="39" t="inlineStr">
        <is>
          <t>可认定</t>
        </is>
      </c>
      <c r="D16" s="37" t="inlineStr">
        <is>
          <t>发现时间、问题证据、建议及确认采纳记录。</t>
        </is>
      </c>
      <c r="E16" s="37" t="inlineStr">
        <is>
          <t>自主发现并发起的改善按正常任务金额×主动倍率结算，不再领取对应执行工作的任务金额。</t>
        </is>
      </c>
    </row>
    <row r="17" ht="78" customHeight="1" s="1">
      <c r="A17" s="37" t="inlineStr">
        <is>
          <t>先提建议、批准后执行</t>
        </is>
      </c>
      <c r="B17" s="37" t="inlineStr">
        <is>
          <t>员工先发现和建议，涉及权限的操作经批准后实施。</t>
        </is>
      </c>
      <c r="C17" s="39" t="inlineStr">
        <is>
          <t>可认定</t>
        </is>
      </c>
      <c r="D17" s="37" t="inlineStr">
        <is>
          <t>发现及建议时间、批准记录、授权范围、执行核验结果。</t>
        </is>
      </c>
      <c r="E17" s="37" t="inlineStr">
        <is>
          <t>员工先提出问题及建议，再获批准并建立任务，仍属主动改善；按主动倍率计算，不计对应任务金额。</t>
        </is>
      </c>
    </row>
    <row r="18" ht="140" customHeight="1" s="1">
      <c r="A18" s="37" t="inlineStr">
        <is>
          <t>本人责任纠错</t>
        </is>
      </c>
      <c r="B18" s="37" t="inlineStr">
        <is>
          <t>不论产品归属，修复本人操作、编写或应核验事项疏漏造成的错误，均不另计任务报酬、主动加成或成果奖励。按操作当时确认的资料与执行记录判责，负责人后续更新或更正资料须区分处理；详见“优化登记与复盘规则”。</t>
        </is>
      </c>
      <c r="C18" s="39" t="inlineStr">
        <is>
          <t>不计</t>
        </is>
      </c>
      <c r="D18" s="37" t="inlineStr">
        <is>
          <t>原操作及返工记录。</t>
        </is>
      </c>
      <c r="E18" s="37" t="inlineStr">
        <is>
          <t>作为原任务返工，不新增任务金额；原任务最终按验收和时效规则处理。</t>
        </is>
      </c>
    </row>
    <row r="19" ht="78" customHeight="1" s="1">
      <c r="A19" s="37" t="inlineStr">
        <is>
          <t>无依据或重复刷操作</t>
        </is>
      </c>
      <c r="B19" s="37" t="inlineStr">
        <is>
          <t>无依据调整、反复修改或人为拆分同一问题。</t>
        </is>
      </c>
      <c r="C19" s="39" t="inlineStr">
        <is>
          <t>不计</t>
        </is>
      </c>
      <c r="D19" s="37" t="inlineStr">
        <is>
          <t>修改日志、问题及方案记录。</t>
        </is>
      </c>
      <c r="E19" s="37" t="inlineStr">
        <is>
          <t>无独立有效交付的操作不另计任务金额；同一目标只登记一个主任务。</t>
        </is>
      </c>
    </row>
    <row r="20" ht="78" customHeight="1" s="1">
      <c r="A20" s="37" t="inlineStr">
        <is>
          <t>超出授权范围</t>
        </is>
      </c>
      <c r="B20" s="37" t="inlineStr">
        <is>
          <t>未在规定权限内操作，或应审批而未经批准。</t>
        </is>
      </c>
      <c r="C20" s="39" t="inlineStr">
        <is>
          <t>不计</t>
        </is>
      </c>
      <c r="D20" s="37" t="inlineStr">
        <is>
          <t>授权范围、审批及实际操作记录。</t>
        </is>
      </c>
      <c r="E20" s="37" t="inlineStr">
        <is>
          <t>按公司既有权限和事件处理规则审核；不因表面结果改善而认定主动贡献。</t>
        </is>
      </c>
    </row>
    <row r="21" ht="78" customHeight="1" s="1">
      <c r="A21" s="37" t="inlineStr">
        <is>
          <t>系统自动完成</t>
        </is>
      </c>
      <c r="B21" s="37" t="inlineStr">
        <is>
          <t>系统已自动发现并处理，员工没有独立判断、建议或有效处置贡献。</t>
        </is>
      </c>
      <c r="C21" s="39" t="inlineStr">
        <is>
          <t>不计</t>
        </is>
      </c>
      <c r="D21" s="37" t="inlineStr">
        <is>
          <t>自动执行日志、人工参与记录。</t>
        </is>
      </c>
      <c r="E21" s="37" t="inlineStr">
        <is>
          <t>纯自动步骤不计人工任务金额；有实质人工判断或处置的，仅对独立贡献按上述条件认定。</t>
        </is>
      </c>
    </row>
    <row r="22">
      <c r="A22" s="33" t="n"/>
      <c r="B22" s="33" t="n"/>
      <c r="C22" s="33" t="n"/>
      <c r="D22" s="33" t="n"/>
      <c r="E22" s="33" t="n"/>
    </row>
    <row r="23" ht="26" customHeight="1" s="1">
      <c r="A23" s="35" t="inlineStr">
        <is>
          <t>三、四类常见主动工作的归属</t>
        </is>
      </c>
      <c r="B23" s="33" t="n"/>
      <c r="C23" s="33" t="n"/>
      <c r="D23" s="33" t="n"/>
      <c r="E23" s="33" t="n"/>
    </row>
    <row r="24" ht="30" customHeight="1" s="1">
      <c r="A24" s="36" t="inlineStr">
        <is>
          <t>主动工作</t>
        </is>
      </c>
      <c r="B24" s="36" t="inlineStr">
        <is>
          <t>对应任务类型</t>
        </is>
      </c>
      <c r="C24" s="36" t="inlineStr">
        <is>
          <t>任务金额</t>
        </is>
      </c>
      <c r="D24" s="36" t="inlineStr">
        <is>
          <t>主动改善评价依据</t>
        </is>
      </c>
      <c r="E24" s="36" t="inlineStr">
        <is>
          <t>记录及防重复要求</t>
        </is>
      </c>
    </row>
    <row r="25" ht="78" customHeight="1" s="1">
      <c r="A25" s="37" t="inlineStr">
        <is>
          <t>主动发现价格不对并调整</t>
        </is>
      </c>
      <c r="B25" s="37" t="inlineStr">
        <is>
          <t>价格调整相关主动改善</t>
        </is>
      </c>
      <c r="C25" s="39" t="inlineStr">
        <is>
          <t>不计任务金额</t>
        </is>
      </c>
      <c r="D25" s="37" t="inlineStr">
        <is>
          <t>依据充分，调整合理，核验价格及适用字段生效结果。</t>
        </is>
      </c>
      <c r="E25" s="37" t="inlineStr">
        <is>
          <t>按正常任务金额×主动倍率计算。对应执行及复盘不再另计任务金额；审批或补建任务不改变自主发起来源。</t>
        </is>
      </c>
    </row>
    <row r="26" ht="78" customHeight="1" s="1">
      <c r="A26" s="37" t="inlineStr">
        <is>
          <t>主动发现Listing问题并修正</t>
        </is>
      </c>
      <c r="B26" s="37" t="inlineStr">
        <is>
          <t>Listing纠错／优化；或独立图片维护、A+内容增删修改、视频上传与信息维护</t>
        </is>
      </c>
      <c r="C26" s="39" t="inlineStr">
        <is>
          <t>不计任务金额</t>
        </is>
      </c>
      <c r="D26" s="37" t="inlineStr">
        <is>
          <t>指出具体问题，提供依据，完成有效修改及展示核验。</t>
        </is>
      </c>
      <c r="E26" s="37" t="inlineStr">
        <is>
          <t>按正常任务金额×主动倍率计算。对应执行及复盘不再另计任务金额；审批或补建任务不改变自主发起来源。</t>
        </is>
      </c>
    </row>
    <row r="27" ht="78" customHeight="1" s="1">
      <c r="A27" s="37" t="inlineStr">
        <is>
          <t>主动发现库存冗余并处理</t>
        </is>
      </c>
      <c r="B27" s="37" t="inlineStr">
        <is>
          <t>库存冗余处理</t>
        </is>
      </c>
      <c r="C27" s="39" t="inlineStr">
        <is>
          <t>不计任务金额</t>
        </is>
      </c>
      <c r="D27" s="37" t="inlineStr">
        <is>
          <t>有库存及问题依据，提出可执行处置建议并推动落实，记录约定阶段结果。</t>
        </is>
      </c>
      <c r="E27" s="37" t="inlineStr">
        <is>
          <t>按正常任务金额×主动倍率计算。对应执行及复盘不再另计任务金额；审批或补建任务不改变自主发起来源。</t>
        </is>
      </c>
    </row>
    <row r="28" ht="78" customHeight="1" s="1">
      <c r="A28" s="37" t="inlineStr">
        <is>
          <t>主动发现广告问题并优化</t>
        </is>
      </c>
      <c r="B28" s="37" t="inlineStr">
        <is>
          <t>员工自主发起的Campaign优化</t>
        </is>
      </c>
      <c r="C28" s="39" t="inlineStr">
        <is>
          <t>不计任务金额</t>
        </is>
      </c>
      <c r="D28" s="37" t="inlineStr">
        <is>
          <t>有数据及判断依据，明确目标和观察期；执行后完成必要复查。</t>
        </is>
      </c>
      <c r="E28" s="37" t="inlineStr">
        <is>
          <t>按正常任务金额×主动倍率计算。对应执行及复盘不再另计任务金额；审批或补建任务不改变自主发起来源。</t>
        </is>
      </c>
    </row>
    <row r="29">
      <c r="A29" s="33" t="n"/>
      <c r="B29" s="33" t="n"/>
      <c r="C29" s="33" t="n"/>
      <c r="D29" s="33" t="n"/>
      <c r="E29" s="33" t="n"/>
    </row>
    <row r="30" ht="26" customHeight="1" s="1">
      <c r="A30" s="35" t="inlineStr">
        <is>
          <t>四、月度结算与协作规则</t>
        </is>
      </c>
      <c r="B30" s="33" t="n"/>
      <c r="C30" s="33" t="n"/>
      <c r="D30" s="33" t="n"/>
      <c r="E30" s="33" t="n"/>
    </row>
    <row r="31" ht="30" customHeight="1" s="1">
      <c r="A31" s="36" t="inlineStr">
        <is>
          <t>规则</t>
        </is>
      </c>
      <c r="B31" s="36" t="inlineStr">
        <is>
          <t>执行标准</t>
        </is>
      </c>
      <c r="C31" s="36" t="inlineStr">
        <is>
          <t>金额／口径</t>
        </is>
      </c>
      <c r="D31" s="36" t="inlineStr">
        <is>
          <t>必要记录</t>
        </is>
      </c>
      <c r="E31" s="36" t="inlineStr">
        <is>
          <t>结算说明</t>
        </is>
      </c>
    </row>
    <row r="32" ht="78" customHeight="1" s="1">
      <c r="A32" s="37" t="inlineStr">
        <is>
          <t>月度结算公式</t>
        </is>
      </c>
      <c r="B32" s="37" t="inlineStr">
        <is>
          <t>正常任务金额按基础金额及难度计算，主动任务再按适用主动倍率计算，每项任务只结算一次。月度任务绩效＝OA已验收任务金额＋Streamlit已验收主动任务金额＋当月已确认且未重复结算的成果奖励；升级只发差额。详见“改善成果奖励”。</t>
        </is>
      </c>
      <c r="C32" s="40" t="inlineStr">
        <is>
          <t>见公式</t>
        </is>
      </c>
      <c r="D32" s="37" t="inlineStr">
        <is>
          <t>当月全部已验收任务的最终金额汇总。</t>
        </is>
      </c>
      <c r="E32" s="37" t="inlineStr">
        <is>
          <t>本表列示任务绩效金额，不包含固定工资；不再乘5或重复领取正常金额。其他绩效制度按公司既定规定执行。</t>
        </is>
      </c>
    </row>
    <row r="33" ht="78" customHeight="1" s="1">
      <c r="A33" s="37" t="inlineStr">
        <is>
          <t>同一任务不重复计费</t>
        </is>
      </c>
      <c r="B33" s="37" t="inlineStr">
        <is>
          <t>同一问题、同一目标视为一个案例，不按动作、字段、消息或提交次数拆分。</t>
        </is>
      </c>
      <c r="C33" s="39" t="inlineStr">
        <is>
          <t>不重复</t>
        </is>
      </c>
      <c r="D33" s="37" t="inlineStr">
        <is>
          <t>唯一案例编号、问题对象、改善目标及关联任务编号。</t>
        </is>
      </c>
      <c r="E33" s="37" t="inlineStr">
        <is>
          <t>按各项目规定的计费单位去重。Buy Box按站点及ASIN分别计费，不因共用证据或Case合并不同ASIN的金额；同一站点同一ASIN同一异常不重复计费。其他项目按对应规则处理。</t>
        </is>
      </c>
    </row>
    <row r="34" ht="78" customHeight="1" s="1">
      <c r="A34" s="37" t="inlineStr">
        <is>
          <t>跨月任务</t>
        </is>
      </c>
      <c r="B34" s="37" t="inlineStr">
        <is>
          <t>跨月任务在验收完成的月份计入当月金额。</t>
        </is>
      </c>
      <c r="C34" s="39" t="inlineStr">
        <is>
          <t>按验收月</t>
        </is>
      </c>
      <c r="D34" s="37" t="inlineStr">
        <is>
          <t>验收日期、结算月及任务编号。</t>
        </is>
      </c>
      <c r="E34" s="37" t="inlineStr">
        <is>
          <t>未验收任务不计入当月；待验收任务于通过验收月份计费。</t>
        </is>
      </c>
    </row>
    <row r="35" ht="78" customHeight="1" s="1">
      <c r="A35" s="37" t="inlineStr">
        <is>
          <t>多人合作</t>
        </is>
      </c>
      <c r="B35" s="37" t="inlineStr">
        <is>
          <t>按实际发现、分析、执行、协调及验证贡献，在该任务最终金额内分配个人份额。</t>
        </is>
      </c>
      <c r="C35" s="39" t="inlineStr">
        <is>
          <t>总金额不增</t>
        </is>
      </c>
      <c r="D35" s="37" t="inlineStr">
        <is>
          <t>各人贡献、个人分配金额及负责人确认记录。</t>
        </is>
      </c>
      <c r="E35" s="37" t="inlineStr">
        <is>
          <t>参与者金额之和不得超过该任务最终金额；后续追加人员只分配新增工作量对应的份额，保留原已认定贡献。</t>
        </is>
      </c>
    </row>
    <row r="36" ht="78" customHeight="1" s="1">
      <c r="A36" s="37" t="inlineStr">
        <is>
          <t>记录与验收</t>
        </is>
      </c>
      <c r="B36" s="37" t="inlineStr">
        <is>
          <t>现有页面保留案例编号、人员及贡献、问题和建议、证据、关联任务、权限记录、验收结论、等级及金额。</t>
        </is>
      </c>
      <c r="C36" s="39" t="inlineStr">
        <is>
          <t>统一口径</t>
        </is>
      </c>
      <c r="D36" s="37" t="inlineStr">
        <is>
          <t>记录发起来源、原始指令或员工首次提议时间、审批记录及关联任务。有效发现核验采纳，推动解决核验结果，持续改善核验落实。</t>
        </is>
      </c>
      <c r="E36" s="37" t="inlineStr">
        <is>
          <t>负责人按本页标准认定；原因不按文字长度增加金额，证据可为日志、前后对照、截图、处理单或验证记录。</t>
        </is>
      </c>
    </row>
    <row r="37" ht="78" customHeight="1" s="1">
      <c r="A37" s="37" t="inlineStr">
        <is>
          <t>0元关联入口</t>
        </is>
      </c>
      <c r="B37" s="37" t="inlineStr">
        <is>
          <t>主动价格优化及VOC关联入口仅作记录和追溯；Brand Store不再单列主动优化0元项目，自主发起的店铺改善直接登记主动改善案例。计费按发起来源，不通过关联主任务重复领取任务金额。</t>
        </is>
      </c>
      <c r="C37" s="39" t="inlineStr">
        <is>
          <t>仅防重计</t>
        </is>
      </c>
      <c r="D37" s="37" t="inlineStr">
        <is>
          <t>实际主任务编号及主动改善案例编号。</t>
        </is>
      </c>
      <c r="E37" s="37" t="inlineStr">
        <is>
          <t>负责人安排的工作计任务金额；自主发起改善计主动金额，二者互斥。已计费后发现来源归属错误，先冲销原路径再按正确路径结算，不能两边保留。</t>
        </is>
      </c>
    </row>
    <row r="38">
      <c r="A38" s="33" t="n"/>
      <c r="B38" s="33" t="n"/>
      <c r="C38" s="33" t="n"/>
      <c r="D38" s="33" t="n"/>
      <c r="E38" s="33"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51"/>
  <sheetViews>
    <sheetView showGridLines="0" workbookViewId="0">
      <pane ySplit="7" topLeftCell="A8" activePane="bottomLeft" state="frozen"/>
      <selection activeCell="A1" sqref="A1"/>
    </sheetView>
  </sheetViews>
  <sheetFormatPr baseColWidth="8" defaultColWidth="9" defaultRowHeight="13.5"/>
  <cols>
    <col width="18" customWidth="1" style="1" min="1" max="1"/>
    <col width="42" customWidth="1" style="1" min="2" max="2"/>
    <col width="18" customWidth="1" style="1" min="3" max="3"/>
    <col width="20" customWidth="1" style="1" min="5" max="5"/>
    <col width="20" customWidth="1" style="1" min="6" max="6"/>
    <col width="52" customWidth="1" style="1" min="7" max="7"/>
    <col width="65" customWidth="1" style="1" min="8" max="8"/>
  </cols>
  <sheetData>
    <row r="2" ht="25" customHeight="1" s="1">
      <c r="A2" s="6" t="inlineStr">
        <is>
          <t>已确认的上架、图片、A+和视频场景</t>
        </is>
      </c>
    </row>
    <row r="3" ht="25" customHeight="1" s="1">
      <c r="A3" s="7" t="inlineStr">
        <is>
          <t>示例按当前已确认金额展示；黄色C、D列为本例基础金额与系数，E列自动计算。修改数量或范围时，应回“任务评分”按等级重新选择金额。</t>
        </is>
      </c>
    </row>
    <row r="4" ht="25" customHeight="1" s="1">
      <c r="A4" s="7" t="inlineStr">
        <is>
          <t>本页普通任务金额示例以负责人安排为前提；自主发起按正常任务金额×主动倍率计算（见"任务评分"主动执行倍率规则），同一工作只计一次。</t>
        </is>
      </c>
    </row>
    <row r="7" ht="32" customHeight="1" s="1">
      <c r="A7" s="8" t="inlineStr">
        <is>
          <t>工作类型</t>
        </is>
      </c>
      <c r="B7" s="8" t="inlineStr">
        <is>
          <t>实际场景</t>
        </is>
      </c>
      <c r="C7" s="8" t="inlineStr">
        <is>
          <t>基础金额</t>
        </is>
      </c>
      <c r="D7" s="8" t="inlineStr">
        <is>
          <t>难度系数</t>
        </is>
      </c>
      <c r="E7" s="8" t="inlineStr">
        <is>
          <t>任务金额</t>
        </is>
      </c>
      <c r="F7" s="8" t="inlineStr">
        <is>
          <t>工作范围</t>
        </is>
      </c>
      <c r="G7" s="8" t="inlineStr">
        <is>
          <t>基础金额选档依据</t>
        </is>
      </c>
      <c r="H7" s="8" t="inlineStr">
        <is>
          <t>难度及计费说明</t>
        </is>
      </c>
    </row>
    <row r="8" ht="95" customHeight="1" s="1">
      <c r="A8" s="9" t="inlineStr">
        <is>
          <t>Listing上架</t>
        </is>
      </c>
      <c r="B8" s="9" t="inlineStr">
        <is>
          <t>1个独立SKU上架</t>
        </is>
      </c>
      <c r="C8" s="113" t="n">
        <v>25</v>
      </c>
      <c r="D8" s="82" t="n">
        <v>1</v>
      </c>
      <c r="E8" s="115">
        <f>ROUND(C8*D8,2)</f>
        <v/>
      </c>
      <c r="F8" s="9" t="inlineStr">
        <is>
          <t>无变体关系操作</t>
        </is>
      </c>
      <c r="G8" s="9" t="inlineStr">
        <is>
          <t>1个SKU：25元</t>
        </is>
      </c>
      <c r="H8" s="9" t="inlineStr">
        <is>
          <t>不新增或调整任何父子关系：1.0。</t>
        </is>
      </c>
    </row>
    <row r="9" ht="95" customHeight="1" s="1">
      <c r="A9" s="9" t="inlineStr">
        <is>
          <t>Listing上架</t>
        </is>
      </c>
      <c r="B9" s="9" t="inlineStr">
        <is>
          <t>5个独立SKU上架</t>
        </is>
      </c>
      <c r="C9" s="113" t="n">
        <v>40</v>
      </c>
      <c r="D9" s="82" t="n">
        <v>1</v>
      </c>
      <c r="E9" s="115">
        <f>ROUND(C9*D9,2)</f>
        <v/>
      </c>
      <c r="F9" s="9" t="inlineStr">
        <is>
          <t>5个SKU均独立上架，不建立或调整父子关系</t>
        </is>
      </c>
      <c r="G9" s="9" t="inlineStr">
        <is>
          <t>2个及以上SKU共用一张上架表：40元</t>
        </is>
      </c>
      <c r="H9" s="9" t="inlineStr">
        <is>
          <t>不新增或调整任何父子关系：1.0。</t>
        </is>
      </c>
    </row>
    <row r="10" ht="95" customHeight="1" s="1">
      <c r="A10" s="9" t="inlineStr">
        <is>
          <t>Listing上架</t>
        </is>
      </c>
      <c r="B10" s="9" t="inlineStr">
        <is>
          <t>5个SKU组成一个变体</t>
        </is>
      </c>
      <c r="C10" s="113" t="n">
        <v>40</v>
      </c>
      <c r="D10" s="82" t="n">
        <v>1.3</v>
      </c>
      <c r="E10" s="115">
        <f>ROUND(C10*D10,2)</f>
        <v/>
      </c>
      <c r="F10" s="9" t="inlineStr">
        <is>
          <t>5个SKU全部组成或加入同一个父体下的变体组</t>
        </is>
      </c>
      <c r="G10" s="9" t="inlineStr">
        <is>
          <t>2个及以上SKU共用一张上架表：40元</t>
        </is>
      </c>
      <c r="H10" s="9" t="inlineStr">
        <is>
          <t>本次需处理关系的不同父体数为1：1.3；新建或已有父体均可，不另计变体关系维护。</t>
        </is>
      </c>
    </row>
    <row r="11" ht="95" customHeight="1" s="1">
      <c r="A11" s="9" t="inlineStr">
        <is>
          <t>Listing上架</t>
        </is>
      </c>
      <c r="B11" s="9" t="inlineStr">
        <is>
          <t>5个SKU加入不同变体</t>
        </is>
      </c>
      <c r="C11" s="113" t="n">
        <v>40</v>
      </c>
      <c r="D11" s="82" t="n">
        <v>1.6</v>
      </c>
      <c r="E11" s="115">
        <f>ROUND(C11*D11,2)</f>
        <v/>
      </c>
      <c r="F11" s="9" t="inlineStr">
        <is>
          <t>5个SKU分别加入两个及以上已明确的目标变体组</t>
        </is>
      </c>
      <c r="G11" s="9" t="inlineStr">
        <is>
          <t>2个及以上SKU共用一张上架表：40元</t>
        </is>
      </c>
      <c r="H11" s="9" t="inlineStr">
        <is>
          <t>本次需处理关系的不同父体数为2个及以上：1.6；不另计变体关系维护。</t>
        </is>
      </c>
    </row>
    <row r="12" ht="95" customHeight="1" s="1">
      <c r="A12" s="9" t="inlineStr">
        <is>
          <t>图片上传</t>
        </is>
      </c>
      <c r="B12" s="9" t="inlineStr">
        <is>
          <t>1个SKU各用独立图片</t>
        </is>
      </c>
      <c r="C12" s="113" t="n">
        <v>10</v>
      </c>
      <c r="D12" s="82" t="n">
        <v>1</v>
      </c>
      <c r="E12" s="115">
        <f>ROUND(C12*D12,2)</f>
        <v/>
      </c>
      <c r="F12" s="9" t="inlineStr">
        <is>
          <t>1个SKU有可用图片</t>
        </is>
      </c>
      <c r="G12" s="9" t="inlineStr">
        <is>
          <t>每SKU10元</t>
        </is>
      </c>
      <c r="H12" s="9" t="inlineStr">
        <is>
          <t>OA有可用图片，上传并核验。</t>
        </is>
      </c>
    </row>
    <row r="13" ht="95" customHeight="1" s="1">
      <c r="A13" s="9" t="inlineStr">
        <is>
          <t>图片上传</t>
        </is>
      </c>
      <c r="B13" s="9" t="inlineStr">
        <is>
          <t>5个SKU各用独立图片</t>
        </is>
      </c>
      <c r="C13" s="113" t="n">
        <v>50</v>
      </c>
      <c r="D13" s="82" t="n">
        <v>1</v>
      </c>
      <c r="E13" s="115">
        <f>ROUND(C13*D13,2)</f>
        <v/>
      </c>
      <c r="F13" s="9" t="inlineStr">
        <is>
          <t>5个SKU分别上传自己的图片</t>
        </is>
      </c>
      <c r="G13" s="9" t="inlineStr">
        <is>
          <t>5个SKU×10元＝50元</t>
        </is>
      </c>
      <c r="H13" s="9" t="inlineStr">
        <is>
          <t>每个SKU独立计费，不按批量打折。</t>
        </is>
      </c>
    </row>
    <row r="14" ht="95" customHeight="1" s="1">
      <c r="A14" s="9" t="inlineStr">
        <is>
          <t>图片上传</t>
        </is>
      </c>
      <c r="B14" s="9" t="inlineStr">
        <is>
          <t>10个SKU各用独立图片</t>
        </is>
      </c>
      <c r="C14" s="113" t="n">
        <v>100</v>
      </c>
      <c r="D14" s="82" t="n">
        <v>1</v>
      </c>
      <c r="E14" s="115">
        <f>ROUND(C14*D14,2)</f>
        <v/>
      </c>
      <c r="F14" s="9" t="inlineStr">
        <is>
          <t>10个SKU分别上传自己的图片</t>
        </is>
      </c>
      <c r="G14" s="9" t="inlineStr">
        <is>
          <t>10个SKU×10元＝100元</t>
        </is>
      </c>
      <c r="H14" s="9" t="inlineStr">
        <is>
          <t>若10个SKU均需向产品负责人取图：100元×1.3＝130元。</t>
        </is>
      </c>
    </row>
    <row r="15" ht="95" customHeight="1" s="1">
      <c r="A15" s="9" t="inlineStr">
        <is>
          <t>A+应用</t>
        </is>
      </c>
      <c r="B15" s="9" t="inlineStr">
        <is>
          <t>加入原有A+</t>
        </is>
      </c>
      <c r="C15" s="113" t="n">
        <v>25</v>
      </c>
      <c r="D15" s="82" t="n">
        <v>1</v>
      </c>
      <c r="E15" s="115">
        <f>ROUND(C15*D15,2)</f>
        <v/>
      </c>
      <c r="F15" s="9" t="inlineStr">
        <is>
          <t>5个SKU加入同一份已有A+</t>
        </is>
      </c>
      <c r="G15" s="9" t="inlineStr">
        <is>
          <t>5个SKU×5元＝25元</t>
        </is>
      </c>
      <c r="H15" s="9" t="inlineStr">
        <is>
          <t>已有A+按SKU计费。</t>
        </is>
      </c>
    </row>
    <row r="16" ht="95" customHeight="1" s="1">
      <c r="A16" s="9" t="inlineStr">
        <is>
          <t>A+制作</t>
        </is>
      </c>
      <c r="B16" s="9" t="inlineStr">
        <is>
          <t>多个新产品共用新A+</t>
        </is>
      </c>
      <c r="C16" s="113" t="n">
        <v>75</v>
      </c>
      <c r="D16" s="82" t="n">
        <v>1</v>
      </c>
      <c r="E16" s="115">
        <f>ROUND(C16*D16,2)</f>
        <v/>
      </c>
      <c r="F16" s="9" t="inlineStr">
        <is>
          <t>5个SKU共用1份新A+</t>
        </is>
      </c>
      <c r="G16" s="9" t="inlineStr">
        <is>
          <t>1份×75元＝75元</t>
        </is>
      </c>
      <c r="H16" s="9" t="inlineStr">
        <is>
          <t>含首次绑定；不再加25元绑定金额。</t>
        </is>
      </c>
    </row>
    <row r="17" ht="95" customHeight="1" s="1">
      <c r="A17" s="9" t="inlineStr">
        <is>
          <t>A+制作</t>
        </is>
      </c>
      <c r="B17" s="9" t="inlineStr">
        <is>
          <t>每个ASIN分别制作不同A+</t>
        </is>
      </c>
      <c r="C17" s="113" t="n">
        <v>375</v>
      </c>
      <c r="D17" s="82" t="n">
        <v>1</v>
      </c>
      <c r="E17" s="115">
        <f>ROUND(C17*D17,2)</f>
        <v/>
      </c>
      <c r="F17" s="9" t="inlineStr">
        <is>
          <t>5个SKU分别制作5份新A+</t>
        </is>
      </c>
      <c r="G17" s="9" t="inlineStr">
        <is>
          <t>5份×75元＝375元</t>
        </is>
      </c>
      <c r="H17" s="9" t="inlineStr">
        <is>
          <t>每份独立内容75元。</t>
        </is>
      </c>
    </row>
    <row r="18" ht="95" customHeight="1" s="1">
      <c r="A18" s="9" t="inlineStr">
        <is>
          <t>视频绑定</t>
        </is>
      </c>
      <c r="B18" s="9" t="inlineStr">
        <is>
          <t>ASIN加入原有视频</t>
        </is>
      </c>
      <c r="C18" s="113" t="n">
        <v>10</v>
      </c>
      <c r="D18" s="82" t="n">
        <v>1</v>
      </c>
      <c r="E18" s="115">
        <f>ROUND(C18*D18,2)</f>
        <v/>
      </c>
      <c r="F18" s="9" t="inlineStr">
        <is>
          <t>5个SKU加入同一已有视频</t>
        </is>
      </c>
      <c r="G18" s="9" t="inlineStr">
        <is>
          <t>同视频2个及以上SKU：10元</t>
        </is>
      </c>
      <c r="H18" s="9" t="inlineStr">
        <is>
          <t>若加入5个不同已有视频，则25元。</t>
        </is>
      </c>
    </row>
    <row r="19" ht="95" customHeight="1" s="1">
      <c r="A19" s="9" t="inlineStr">
        <is>
          <t>视频上传</t>
        </is>
      </c>
      <c r="B19" s="9" t="inlineStr">
        <is>
          <t>多个产品共用新视频</t>
        </is>
      </c>
      <c r="C19" s="113" t="n">
        <v>15</v>
      </c>
      <c r="D19" s="82" t="n">
        <v>1</v>
      </c>
      <c r="E19" s="115">
        <f>ROUND(C19*D19,2)</f>
        <v/>
      </c>
      <c r="F19" s="9" t="inlineStr">
        <is>
          <t>5个SKU共用1个新上传视频</t>
        </is>
      </c>
      <c r="G19" s="9" t="inlineStr">
        <is>
          <t>1个视频×15元＝15元</t>
        </is>
      </c>
      <c r="H19" s="9" t="inlineStr">
        <is>
          <t>含首次SKU绑定，不另加绑定金额。</t>
        </is>
      </c>
    </row>
    <row r="20" ht="95" customHeight="1" s="1">
      <c r="A20" s="9" t="inlineStr">
        <is>
          <t>视频上传</t>
        </is>
      </c>
      <c r="B20" s="9" t="inlineStr">
        <is>
          <t>每个ASIN上传不同视频</t>
        </is>
      </c>
      <c r="C20" s="113" t="n">
        <v>75</v>
      </c>
      <c r="D20" s="82" t="n">
        <v>1</v>
      </c>
      <c r="E20" s="115">
        <f>ROUND(C20*D20,2)</f>
        <v/>
      </c>
      <c r="F20" s="9" t="inlineStr">
        <is>
          <t>5个SKU分别上传不同新视频</t>
        </is>
      </c>
      <c r="G20" s="9" t="inlineStr">
        <is>
          <t>5个视频×15元＝75元</t>
        </is>
      </c>
      <c r="H20" s="9" t="inlineStr">
        <is>
          <t>按不同新视频数量计费，不含拍摄剪辑。</t>
        </is>
      </c>
    </row>
    <row r="21" ht="13.85000038146973" customHeight="1" s="1">
      <c r="A21" s="3" t="n"/>
      <c r="B21" s="3" t="n"/>
      <c r="C21" s="3" t="n"/>
      <c r="D21" s="3" t="n"/>
      <c r="E21" s="3" t="n"/>
      <c r="F21" s="3" t="n"/>
      <c r="G21" s="3" t="n"/>
      <c r="H21" s="3" t="n"/>
    </row>
    <row r="22" ht="13.85000038146973" customHeight="1" s="1">
      <c r="A22" s="3" t="n"/>
      <c r="B22" s="3" t="n"/>
      <c r="C22" s="3" t="n"/>
      <c r="D22" s="3" t="n"/>
      <c r="E22" s="3" t="n"/>
      <c r="F22" s="3" t="n"/>
      <c r="G22" s="3" t="n"/>
      <c r="H22" s="3" t="n"/>
    </row>
    <row r="23" ht="28" customHeight="1" s="1">
      <c r="A23" s="12" t="inlineStr">
        <is>
          <t>OA一条一个SKU：建立上架执行组编号</t>
        </is>
      </c>
      <c r="B23" s="3" t="n"/>
      <c r="C23" s="3" t="n"/>
      <c r="D23" s="3" t="n"/>
      <c r="E23" s="3" t="n"/>
      <c r="F23" s="3" t="n"/>
      <c r="G23" s="3" t="n"/>
      <c r="H23" s="3" t="n"/>
    </row>
    <row r="24" ht="25" customHeight="1" s="1">
      <c r="A24" s="13" t="inlineStr">
        <is>
          <t>步骤1：识别同一次上架安排。创建人相同、时间接近、序号接近只作为候选线索，最终核对任务内容；创建人不等于执行人，不能只凭这些线索自动定组。</t>
        </is>
      </c>
      <c r="B24" s="3" t="n"/>
      <c r="C24" s="3" t="n"/>
      <c r="D24" s="3" t="n"/>
      <c r="E24" s="3" t="n"/>
      <c r="F24" s="3" t="n"/>
      <c r="G24" s="3" t="n"/>
      <c r="H24" s="3" t="n"/>
    </row>
    <row r="25" ht="25" customHeight="1" s="1">
      <c r="A25" s="13" t="inlineStr">
        <is>
          <t>步骤2：同次安排内，按同一执行人、同一站点、能共用一张上架表确定执行组。先看SKU字母前缀，再确认模板适用性；每条OA关联所属组编号。</t>
        </is>
      </c>
      <c r="B25" s="3" t="n"/>
      <c r="C25" s="3" t="n"/>
      <c r="D25" s="3" t="n"/>
      <c r="E25" s="3" t="n"/>
      <c r="F25" s="3" t="n"/>
      <c r="G25" s="3" t="n"/>
      <c r="H25" s="3" t="n"/>
    </row>
    <row r="26" ht="25" customHeight="1" s="1">
      <c r="A26" s="13" t="inlineStr">
        <is>
          <t>步骤3：统计组内本次需要新增或调整关系的不同父体数：0个用1.0，1个用1.3，2个及以上用1.6。新建和已有父体均计入；同一父体下多个子SKU只计1个父体。</t>
        </is>
      </c>
      <c r="B26" s="3" t="n"/>
      <c r="C26" s="3" t="n"/>
      <c r="D26" s="3" t="n"/>
      <c r="E26" s="3" t="n"/>
      <c r="F26" s="3" t="n"/>
      <c r="G26" s="3" t="n"/>
      <c r="H26" s="3" t="n"/>
    </row>
    <row r="27" ht="25" customHeight="1" s="1">
      <c r="A27" s="13" t="inlineStr">
        <is>
          <t>混合任务：本组既有独立上架SKU，也有加入变体的SKU时，只统计需要处理关系的父体；不把独立SKU当父体。同表重复提交不新增组，不能人为拆表提高金额。</t>
        </is>
      </c>
      <c r="B27" s="3" t="n"/>
      <c r="C27" s="3" t="n"/>
      <c r="D27" s="3" t="n"/>
      <c r="E27" s="3" t="n"/>
      <c r="F27" s="3" t="n"/>
      <c r="G27" s="3" t="n"/>
      <c r="H27" s="3" t="n"/>
    </row>
    <row r="28" ht="25" customHeight="1" s="1">
      <c r="A28" s="13" t="inlineStr">
        <is>
          <t>组内金额分摊至所属OA，保留2位小数并处理尾差；月度只统计组总金额或OA分摊金额中的一种。多人确需共同完成一组时，事先约定贡献分配，总金额不重复增加。</t>
        </is>
      </c>
      <c r="B28" s="3" t="n"/>
      <c r="C28" s="3" t="n"/>
      <c r="D28" s="3" t="n"/>
      <c r="E28" s="3" t="n"/>
      <c r="F28" s="3" t="n"/>
      <c r="G28" s="3" t="n"/>
      <c r="H28" s="3" t="n"/>
    </row>
    <row r="29" ht="13.85000038146973" customHeight="1" s="1">
      <c r="A29" s="3" t="n"/>
      <c r="B29" s="3" t="n"/>
      <c r="C29" s="3" t="n"/>
      <c r="D29" s="3" t="n"/>
      <c r="E29" s="3" t="n"/>
      <c r="F29" s="3" t="n"/>
      <c r="G29" s="3" t="n"/>
      <c r="H29" s="3" t="n"/>
    </row>
    <row r="30" ht="32" customHeight="1" s="1">
      <c r="A30" s="8" t="inlineStr">
        <is>
          <t>工作类型</t>
        </is>
      </c>
      <c r="B30" s="8" t="inlineStr">
        <is>
          <t>确认后的批次场景</t>
        </is>
      </c>
      <c r="C30" s="8" t="inlineStr">
        <is>
          <t>基础金额</t>
        </is>
      </c>
      <c r="D30" s="8" t="inlineStr">
        <is>
          <t>难度系数</t>
        </is>
      </c>
      <c r="E30" s="8" t="inlineStr">
        <is>
          <t>批次总金额</t>
        </is>
      </c>
      <c r="F30" s="8" t="inlineStr">
        <is>
          <t>OA任务条数</t>
        </is>
      </c>
      <c r="G30" s="8" t="inlineStr">
        <is>
          <t>每条OA分摊金额</t>
        </is>
      </c>
      <c r="H30" s="8" t="inlineStr">
        <is>
          <t>记录与结算</t>
        </is>
      </c>
    </row>
    <row r="31" ht="84" customHeight="1" s="1">
      <c r="A31" s="9" t="inlineStr">
        <is>
          <t>Listing上架</t>
        </is>
      </c>
      <c r="B31" s="9" t="inlineStr">
        <is>
          <t>1个独立SKU上架</t>
        </is>
      </c>
      <c r="C31" s="89" t="n">
        <v>25</v>
      </c>
      <c r="D31" s="90">
        <f>D8</f>
        <v/>
      </c>
      <c r="E31" s="89" t="n">
        <v>25</v>
      </c>
      <c r="F31" s="15" t="n">
        <v>1</v>
      </c>
      <c r="G31" s="89">
        <f>ROUND(E31/F31,2)</f>
        <v/>
      </c>
      <c r="H31" s="9" t="inlineStr">
        <is>
          <t>本例均为一个上架表组。OA逐条关联该组编号；本例按SKU均分。组总金额和OA分摊金额只能汇总一种。</t>
        </is>
      </c>
    </row>
    <row r="32" ht="84" customHeight="1" s="1">
      <c r="A32" s="9" t="inlineStr">
        <is>
          <t>Listing上架</t>
        </is>
      </c>
      <c r="B32" s="9" t="inlineStr">
        <is>
          <t>5个独立SKU上架</t>
        </is>
      </c>
      <c r="C32" s="89" t="n">
        <v>40</v>
      </c>
      <c r="D32" s="90">
        <f>D9</f>
        <v/>
      </c>
      <c r="E32" s="89" t="n">
        <v>40</v>
      </c>
      <c r="F32" s="15" t="n">
        <v>5</v>
      </c>
      <c r="G32" s="89">
        <f>ROUND(E32/F32,2)</f>
        <v/>
      </c>
      <c r="H32" s="9" t="inlineStr">
        <is>
          <t>本例均为一个上架表组。OA逐条关联该组编号；本例按SKU均分。组总金额和OA分摊金额只能汇总一种。</t>
        </is>
      </c>
    </row>
    <row r="33" ht="84" customHeight="1" s="1">
      <c r="A33" s="9" t="inlineStr">
        <is>
          <t>Listing上架</t>
        </is>
      </c>
      <c r="B33" s="9" t="inlineStr">
        <is>
          <t>5个SKU组成一个变体</t>
        </is>
      </c>
      <c r="C33" s="89" t="n">
        <v>40</v>
      </c>
      <c r="D33" s="90">
        <f>D10</f>
        <v/>
      </c>
      <c r="E33" s="89" t="n">
        <v>52</v>
      </c>
      <c r="F33" s="15" t="n">
        <v>5</v>
      </c>
      <c r="G33" s="89">
        <f>ROUND(E33/F33,2)</f>
        <v/>
      </c>
      <c r="H33" s="9" t="inlineStr">
        <is>
          <t>本例均为一个上架表组。OA逐条关联该组编号；本例按SKU均分。组总金额和OA分摊金额只能汇总一种。</t>
        </is>
      </c>
    </row>
    <row r="34" ht="84" customHeight="1" s="1">
      <c r="A34" s="9" t="inlineStr">
        <is>
          <t>Listing上架</t>
        </is>
      </c>
      <c r="B34" s="9" t="inlineStr">
        <is>
          <t>5个SKU加入不同变体</t>
        </is>
      </c>
      <c r="C34" s="89" t="n">
        <v>40</v>
      </c>
      <c r="D34" s="90">
        <f>D11</f>
        <v/>
      </c>
      <c r="E34" s="89" t="n">
        <v>64</v>
      </c>
      <c r="F34" s="15" t="n">
        <v>5</v>
      </c>
      <c r="G34" s="89">
        <f>ROUND(E34/F34,2)</f>
        <v/>
      </c>
      <c r="H34" s="9" t="inlineStr">
        <is>
          <t>本例均为一个上架表组。OA逐条关联该组编号；本例按SKU均分。组总金额和OA分摊金额只能汇总一种。</t>
        </is>
      </c>
    </row>
    <row r="35" ht="13.85000038146973" customHeight="1" s="1">
      <c r="A35" s="3" t="n"/>
      <c r="B35" s="3" t="n"/>
      <c r="C35" s="3" t="n"/>
      <c r="D35" s="3" t="n"/>
      <c r="E35" s="3" t="n"/>
      <c r="F35" s="3" t="n"/>
      <c r="G35" s="3" t="n"/>
      <c r="H35" s="3" t="n"/>
    </row>
    <row r="36" ht="13.85000038146973" customHeight="1" s="1">
      <c r="A36" s="3" t="n"/>
      <c r="B36" s="3" t="n"/>
      <c r="C36" s="3" t="n"/>
      <c r="D36" s="3" t="n"/>
      <c r="E36" s="3" t="n"/>
      <c r="F36" s="3" t="n"/>
      <c r="G36" s="3" t="n"/>
      <c r="H36" s="3" t="n"/>
    </row>
    <row r="37" ht="13.85000038146973" customHeight="1" s="1">
      <c r="A37" s="3" t="n"/>
      <c r="B37" s="3" t="n"/>
      <c r="C37" s="3" t="n"/>
      <c r="D37" s="3" t="n"/>
      <c r="E37" s="3" t="n"/>
      <c r="F37" s="3" t="n"/>
      <c r="G37" s="3" t="n"/>
      <c r="H37" s="3" t="n"/>
    </row>
    <row r="38" ht="28" customHeight="1" s="1">
      <c r="A38" s="12" t="inlineStr">
        <is>
          <t>Listing上架：单SKU25元，多SKU共用一张表40元</t>
        </is>
      </c>
      <c r="B38" s="3" t="n"/>
      <c r="C38" s="3" t="n"/>
      <c r="D38" s="3" t="n"/>
      <c r="E38" s="3" t="n"/>
      <c r="F38" s="3" t="n"/>
      <c r="G38" s="3" t="n"/>
      <c r="H38" s="3" t="n"/>
    </row>
    <row r="39" ht="25" customHeight="1" s="1">
      <c r="A39" s="13" t="inlineStr">
        <is>
          <t>统一基础金额规则：每组1个SKU为25元；每组2个及以上SKU可共用一张上架表为40元。同一张表内不再按SKU数量增加金额。不同上架表分别建立任务组并计费。</t>
        </is>
      </c>
      <c r="B39" s="3" t="n"/>
      <c r="C39" s="3" t="n"/>
      <c r="D39" s="3" t="n"/>
      <c r="E39" s="3" t="n"/>
      <c r="F39" s="3" t="n"/>
      <c r="G39" s="3" t="n"/>
      <c r="H39" s="3" t="n"/>
    </row>
    <row r="40" ht="25" customHeight="1" s="1">
      <c r="A40" s="13" t="inlineStr">
        <is>
          <t>每组金额＝本组基础金额×本组难度系数。系数按本次需处理关系的不同父体数判断：0个为1.0、1个为1.3、2个及以上为1.6；不是按OA条数或商品SKU数量判断。</t>
        </is>
      </c>
      <c r="B40" s="3" t="n"/>
      <c r="C40" s="3" t="n"/>
      <c r="D40" s="3" t="n"/>
      <c r="E40" s="3" t="n"/>
      <c r="F40" s="3" t="n"/>
      <c r="G40" s="3" t="n"/>
      <c r="H40" s="3" t="n"/>
    </row>
    <row r="41" ht="25" customHeight="1" s="1">
      <c r="A41" s="13" t="inlineStr">
        <is>
          <t>示例一、二展示2个和4个SKU共用一张表时均为40元；示例三、四复现2个JFMSV加入不同变体、5个JFPP组成一个新变体。黄色数量和系数可调整，金额自动计算。</t>
        </is>
      </c>
      <c r="B41" s="3" t="n"/>
      <c r="C41" s="3" t="n"/>
      <c r="D41" s="3" t="n"/>
      <c r="E41" s="3" t="n"/>
      <c r="F41" s="3" t="n"/>
      <c r="G41" s="3" t="n"/>
      <c r="H41" s="3" t="n"/>
    </row>
    <row r="42" ht="13.85000038146973" customHeight="1" s="1">
      <c r="A42" s="3" t="n"/>
      <c r="B42" s="3" t="n"/>
      <c r="C42" s="3" t="n"/>
      <c r="D42" s="3" t="n"/>
      <c r="E42" s="3" t="n"/>
      <c r="F42" s="3" t="n"/>
      <c r="G42" s="3" t="n"/>
      <c r="H42" s="3" t="n"/>
    </row>
    <row r="43" ht="32" customHeight="1" s="1">
      <c r="A43" s="8" t="inlineStr">
        <is>
          <t>示例</t>
        </is>
      </c>
      <c r="B43" s="8" t="inlineStr">
        <is>
          <t>上架表任务组</t>
        </is>
      </c>
      <c r="C43" s="8" t="inlineStr">
        <is>
          <t>本组SKU数</t>
        </is>
      </c>
      <c r="D43" s="8" t="inlineStr">
        <is>
          <t>本组基础金额</t>
        </is>
      </c>
      <c r="E43" s="8" t="inlineStr">
        <is>
          <t>难度系数</t>
        </is>
      </c>
      <c r="F43" s="8" t="inlineStr">
        <is>
          <t>本组金额</t>
        </is>
      </c>
      <c r="G43" s="8" t="inlineStr">
        <is>
          <t>分组说明</t>
        </is>
      </c>
      <c r="H43" s="8" t="inlineStr">
        <is>
          <t>计费说明</t>
        </is>
      </c>
    </row>
    <row r="44" ht="84" customHeight="1" s="1">
      <c r="A44" s="9" t="inlineStr">
        <is>
          <t>一张表</t>
        </is>
      </c>
      <c r="B44" s="9" t="inlineStr">
        <is>
          <t>JFMSV</t>
        </is>
      </c>
      <c r="C44" s="17" t="n">
        <v>2</v>
      </c>
      <c r="D44" s="89">
        <f>IF(C44=1,25,40)</f>
        <v/>
      </c>
      <c r="E44" s="82" t="n">
        <v>1</v>
      </c>
      <c r="F44" s="89">
        <f>ROUND(D44*E44,2)</f>
        <v/>
      </c>
      <c r="G44" s="9">
        <f>C44&amp;"个JFMSV可以共用一张上架表。"</f>
        <v/>
      </c>
      <c r="H44" s="9" t="inlineStr">
        <is>
          <t>2个SKU共用一张表，基础金额40元；更多SKU仍共用该表时，基础金额不再递增。</t>
        </is>
      </c>
    </row>
    <row r="45" ht="84" customHeight="1" s="1">
      <c r="A45" s="9" t="inlineStr">
        <is>
          <t>一张表</t>
        </is>
      </c>
      <c r="B45" s="9" t="inlineStr">
        <is>
          <t>JFMSV</t>
        </is>
      </c>
      <c r="C45" s="17" t="n">
        <v>4</v>
      </c>
      <c r="D45" s="89">
        <f>IF(C45=1,25,40)</f>
        <v/>
      </c>
      <c r="E45" s="82" t="n">
        <v>1</v>
      </c>
      <c r="F45" s="89">
        <f>ROUND(D45*E45,2)</f>
        <v/>
      </c>
      <c r="G45" s="9">
        <f>C45&amp;"个JFMSV可以共用一张上架表。"</f>
        <v/>
      </c>
      <c r="H45" s="9" t="inlineStr">
        <is>
          <t>4个SKU共用一张表，基础金额同样为40元。</t>
        </is>
      </c>
    </row>
    <row r="46" ht="84" customHeight="1" s="1">
      <c r="A46" s="9" t="inlineStr">
        <is>
          <t>两张表：第1组</t>
        </is>
      </c>
      <c r="B46" s="9" t="inlineStr">
        <is>
          <t>JFMSV</t>
        </is>
      </c>
      <c r="C46" s="17" t="n">
        <v>2</v>
      </c>
      <c r="D46" s="89">
        <f>IF(C46=1,25,40)</f>
        <v/>
      </c>
      <c r="E46" s="82" t="n">
        <v>1.6</v>
      </c>
      <c r="F46" s="89">
        <f>ROUND(D46*E46,2)</f>
        <v/>
      </c>
      <c r="G46" s="9">
        <f>"同次安排中的"&amp;C46&amp;"个JFMSV需要一张上架表。"</f>
        <v/>
      </c>
      <c r="H46" s="9" t="inlineStr">
        <is>
          <t>JFMSV00001、JFMSV00002分别加入两个不同的已有父体；本次涉及2个父体，系数1.6。</t>
        </is>
      </c>
    </row>
    <row r="47" ht="84" customHeight="1" s="1">
      <c r="A47" s="9" t="inlineStr">
        <is>
          <t>两张表：第2组</t>
        </is>
      </c>
      <c r="B47" s="9" t="inlineStr">
        <is>
          <t>JFPP</t>
        </is>
      </c>
      <c r="C47" s="17" t="n">
        <v>5</v>
      </c>
      <c r="D47" s="89">
        <f>IF(C47=1,25,40)</f>
        <v/>
      </c>
      <c r="E47" s="82" t="n">
        <v>1.3</v>
      </c>
      <c r="F47" s="89">
        <f>ROUND(D47*E47,2)</f>
        <v/>
      </c>
      <c r="G47" s="9">
        <f>"同次安排中的"&amp;C47&amp;"个JFPP需要另一张上架表。"</f>
        <v/>
      </c>
      <c r="H47" s="9" t="inlineStr">
        <is>
          <t>JFPP00001—00005共同组成一个新父体下的变体组；本次涉及1个父体，系数1.3。父体不另计商品SKU。</t>
        </is>
      </c>
    </row>
    <row r="48" ht="13.85000038146973" customHeight="1" s="1">
      <c r="A48" s="3" t="n"/>
      <c r="B48" s="3" t="n"/>
      <c r="C48" s="3" t="n"/>
      <c r="D48" s="3" t="n"/>
      <c r="E48" s="3" t="n"/>
      <c r="F48" s="3" t="n"/>
      <c r="G48" s="3" t="n"/>
      <c r="H48" s="3" t="n"/>
    </row>
    <row r="49" ht="60" customHeight="1" s="1">
      <c r="A49" s="3" t="n"/>
      <c r="B49" s="12" t="inlineStr">
        <is>
          <t>两张表本次安排合计</t>
        </is>
      </c>
      <c r="C49" s="12" t="n"/>
      <c r="D49" s="12" t="n"/>
      <c r="E49" s="12" t="n"/>
      <c r="F49" s="91">
        <f>SUM(F46:F47)</f>
        <v/>
      </c>
      <c r="G49" s="12">
        <f>C46&amp;"个JFMSV＋"&amp;C47&amp;"个JFPP"</f>
        <v/>
      </c>
      <c r="H49" s="12" t="inlineStr">
        <is>
          <t>按当前案例，两组分别为64元和52元，总金额116元。不同表分组计费，同一表不按数量递增。</t>
        </is>
      </c>
    </row>
    <row r="50" ht="13.85000038146973" customHeight="1" s="1">
      <c r="A50" s="3" t="n"/>
      <c r="B50" s="3" t="n"/>
      <c r="C50" s="3" t="n"/>
      <c r="D50" s="3" t="n"/>
      <c r="E50" s="3" t="n"/>
      <c r="F50" s="3" t="n"/>
      <c r="G50" s="3" t="n"/>
      <c r="H50" s="3" t="n"/>
    </row>
    <row r="51" ht="13.85000038146973" customHeight="1" s="1">
      <c r="A51" s="3" t="n"/>
      <c r="B51" s="3" t="n"/>
      <c r="C51" s="3" t="n"/>
      <c r="D51" s="3" t="n"/>
      <c r="E51" s="3" t="n"/>
      <c r="F51" s="3" t="n"/>
      <c r="G51" s="3" t="n"/>
      <c r="H51" s="3" t="n"/>
    </row>
    <row r="52" ht="28" customHeight="1" s="1">
      <c r="A52" s="12" t="inlineStr">
        <is>
          <t>OA记录如何关联上架执行组：7条SKU示例</t>
        </is>
      </c>
      <c r="B52" s="3" t="n"/>
      <c r="C52" s="3" t="n"/>
      <c r="D52" s="3" t="n"/>
      <c r="E52" s="3" t="n"/>
      <c r="F52" s="3" t="n"/>
      <c r="G52" s="3" t="n"/>
      <c r="H52" s="3" t="n"/>
    </row>
    <row r="53" ht="25" customHeight="1" s="1">
      <c r="A53" s="13" t="inlineStr">
        <is>
          <t>组定义：同一次上架安排中，由同一人执行、同一站点、能够共用一张上架表的SKU集合。先确认执行组，再按父体数选择难度，不能把“一条OA”直接当成“一组”。</t>
        </is>
      </c>
      <c r="B53" s="3" t="n"/>
      <c r="C53" s="3" t="n"/>
      <c r="D53" s="3" t="n"/>
      <c r="E53" s="3" t="n"/>
      <c r="F53" s="3" t="n"/>
      <c r="G53" s="3" t="n"/>
      <c r="H53" s="3" t="n"/>
    </row>
    <row r="54" ht="25" customHeight="1" s="1">
      <c r="A54" s="13" t="inlineStr">
        <is>
          <t>记录方式：每条OA补充上架执行组编号。OA暂不能增加字段时，可在备注或考核台账中记录；组编号、实际OA编号、SKU、目标父体及验收结果应能相互追溯。</t>
        </is>
      </c>
      <c r="B54" s="3" t="n"/>
      <c r="C54" s="3" t="n"/>
      <c r="D54" s="3" t="n"/>
      <c r="E54" s="3" t="n"/>
      <c r="F54" s="3" t="n"/>
      <c r="G54" s="3" t="n"/>
      <c r="H54" s="3" t="n"/>
    </row>
    <row r="55" ht="25" customHeight="1" s="1">
      <c r="A55" s="13" t="inlineStr">
        <is>
          <t>以下上架组001、上架组002为示例编号；已有父体A、已有父体B、新父体C均为示意名称，执行时替换为实际父体标识。实际OA编号未提供，黄色位置保留待填。</t>
        </is>
      </c>
      <c r="B55" s="3" t="n"/>
      <c r="C55" s="3" t="n"/>
      <c r="D55" s="3" t="n"/>
      <c r="E55" s="3" t="n"/>
      <c r="F55" s="3" t="n"/>
      <c r="G55" s="3" t="n"/>
      <c r="H55" s="3" t="n"/>
    </row>
    <row r="56" ht="25" customHeight="1" s="1">
      <c r="A56" s="13" t="inlineStr">
        <is>
          <t>本例固定为2个JFMSV加入不同已有父体、5个JFPP组成1个新父体；分摊金额引用上方案例。实际分组改变后，应重新确认组范围和父体数，再在台账结算。</t>
        </is>
      </c>
      <c r="B56" s="3" t="n"/>
      <c r="C56" s="3" t="n"/>
      <c r="D56" s="3" t="n"/>
      <c r="E56" s="3" t="n"/>
      <c r="F56" s="3" t="n"/>
      <c r="G56" s="3" t="n"/>
      <c r="H56" s="3" t="n"/>
    </row>
    <row r="57" ht="13.85000038146973" customHeight="1" s="1">
      <c r="A57" s="3" t="n"/>
      <c r="B57" s="3" t="n"/>
      <c r="C57" s="3" t="n"/>
      <c r="D57" s="3" t="n"/>
      <c r="E57" s="3" t="n"/>
      <c r="F57" s="3" t="n"/>
      <c r="G57" s="3" t="n"/>
      <c r="H57" s="3" t="n"/>
    </row>
    <row r="58" ht="42" customHeight="1" s="1">
      <c r="A58" s="8" t="inlineStr">
        <is>
          <t>上架组编号</t>
        </is>
      </c>
      <c r="B58" s="8" t="inlineStr">
        <is>
          <t>商品SKU</t>
        </is>
      </c>
      <c r="C58" s="8" t="inlineStr">
        <is>
          <t>OA记录编号</t>
        </is>
      </c>
      <c r="D58" s="8" t="inlineStr">
        <is>
          <t>目标父体</t>
        </is>
      </c>
      <c r="E58" s="8" t="inlineStr">
        <is>
          <t>本组父体数</t>
        </is>
      </c>
      <c r="F58" s="8" t="inlineStr">
        <is>
          <t>难度系数</t>
        </is>
      </c>
      <c r="G58" s="8" t="inlineStr">
        <is>
          <t>本条OA分摊金额</t>
        </is>
      </c>
      <c r="H58" s="8" t="inlineStr">
        <is>
          <t>判断依据</t>
        </is>
      </c>
    </row>
    <row r="59" ht="70" customHeight="1" s="1">
      <c r="A59" s="9" t="inlineStr">
        <is>
          <t>上架组001</t>
        </is>
      </c>
      <c r="B59" s="9" t="inlineStr">
        <is>
          <t>JFMSV00001</t>
        </is>
      </c>
      <c r="C59" s="19" t="inlineStr">
        <is>
          <t>待填</t>
        </is>
      </c>
      <c r="D59" s="9" t="inlineStr">
        <is>
          <t>已有父体A</t>
        </is>
      </c>
      <c r="E59" s="15" t="n">
        <v>2</v>
      </c>
      <c r="F59" s="90">
        <f>E46</f>
        <v/>
      </c>
      <c r="G59" s="89">
        <f>ROUND(F46/C46,2)</f>
        <v/>
      </c>
      <c r="H59" s="9" t="inlineStr">
        <is>
          <t>同组两条OA分别关联不同已有父体，本组共涉及2个父体。</t>
        </is>
      </c>
    </row>
    <row r="60" ht="70" customHeight="1" s="1">
      <c r="A60" s="9" t="inlineStr">
        <is>
          <t>上架组001</t>
        </is>
      </c>
      <c r="B60" s="9" t="inlineStr">
        <is>
          <t>JFMSV00002</t>
        </is>
      </c>
      <c r="C60" s="19" t="inlineStr">
        <is>
          <t>待填</t>
        </is>
      </c>
      <c r="D60" s="9" t="inlineStr">
        <is>
          <t>已有父体B</t>
        </is>
      </c>
      <c r="E60" s="15" t="n">
        <v>2</v>
      </c>
      <c r="F60" s="90">
        <f>E46</f>
        <v/>
      </c>
      <c r="G60" s="89">
        <f>ROUND(F46/C46,2)</f>
        <v/>
      </c>
      <c r="H60" s="9" t="inlineStr">
        <is>
          <t>与上一条共用一张上架表；目标父体不同，本组系数1.6。</t>
        </is>
      </c>
    </row>
    <row r="61" ht="70" customHeight="1" s="1">
      <c r="A61" s="9" t="inlineStr">
        <is>
          <t>上架组002</t>
        </is>
      </c>
      <c r="B61" s="9" t="inlineStr">
        <is>
          <t>JFPP00001</t>
        </is>
      </c>
      <c r="C61" s="19" t="inlineStr">
        <is>
          <t>待填</t>
        </is>
      </c>
      <c r="D61" s="9" t="inlineStr">
        <is>
          <t>新父体C</t>
        </is>
      </c>
      <c r="E61" s="15" t="n">
        <v>1</v>
      </c>
      <c r="F61" s="90">
        <f>E47</f>
        <v/>
      </c>
      <c r="G61" s="89">
        <f>ROUND(F47/C47,2)</f>
        <v/>
      </c>
      <c r="H61" s="9" t="inlineStr">
        <is>
          <t>5条OA共同关联同一个新父体，本组父体数为1，系数1.3。</t>
        </is>
      </c>
    </row>
    <row r="62" ht="70" customHeight="1" s="1">
      <c r="A62" s="9" t="inlineStr">
        <is>
          <t>上架组002</t>
        </is>
      </c>
      <c r="B62" s="9" t="inlineStr">
        <is>
          <t>JFPP00002</t>
        </is>
      </c>
      <c r="C62" s="19" t="inlineStr">
        <is>
          <t>待填</t>
        </is>
      </c>
      <c r="D62" s="9" t="inlineStr">
        <is>
          <t>新父体C</t>
        </is>
      </c>
      <c r="E62" s="15" t="n">
        <v>1</v>
      </c>
      <c r="F62" s="90">
        <f>E47</f>
        <v/>
      </c>
      <c r="G62" s="89">
        <f>ROUND(F47/C47,2)</f>
        <v/>
      </c>
      <c r="H62" s="9" t="inlineStr">
        <is>
          <t>5条OA共同关联同一个新父体，本组父体数为1，系数1.3。</t>
        </is>
      </c>
    </row>
    <row r="63" ht="70" customHeight="1" s="1">
      <c r="A63" s="9" t="inlineStr">
        <is>
          <t>上架组002</t>
        </is>
      </c>
      <c r="B63" s="9" t="inlineStr">
        <is>
          <t>JFPP00003</t>
        </is>
      </c>
      <c r="C63" s="19" t="inlineStr">
        <is>
          <t>待填</t>
        </is>
      </c>
      <c r="D63" s="9" t="inlineStr">
        <is>
          <t>新父体C</t>
        </is>
      </c>
      <c r="E63" s="15" t="n">
        <v>1</v>
      </c>
      <c r="F63" s="90">
        <f>E47</f>
        <v/>
      </c>
      <c r="G63" s="89">
        <f>ROUND(F47/C47,2)</f>
        <v/>
      </c>
      <c r="H63" s="9" t="inlineStr">
        <is>
          <t>5条OA共同关联同一个新父体，本组父体数为1，系数1.3。</t>
        </is>
      </c>
    </row>
    <row r="64" ht="70" customHeight="1" s="1">
      <c r="A64" s="9" t="inlineStr">
        <is>
          <t>上架组002</t>
        </is>
      </c>
      <c r="B64" s="9" t="inlineStr">
        <is>
          <t>JFPP00004</t>
        </is>
      </c>
      <c r="C64" s="19" t="inlineStr">
        <is>
          <t>待填</t>
        </is>
      </c>
      <c r="D64" s="9" t="inlineStr">
        <is>
          <t>新父体C</t>
        </is>
      </c>
      <c r="E64" s="15" t="n">
        <v>1</v>
      </c>
      <c r="F64" s="90">
        <f>E47</f>
        <v/>
      </c>
      <c r="G64" s="89">
        <f>ROUND(F47/C47,2)</f>
        <v/>
      </c>
      <c r="H64" s="9" t="inlineStr">
        <is>
          <t>5条OA共同关联同一个新父体，本组父体数为1，系数1.3。</t>
        </is>
      </c>
    </row>
    <row r="65" ht="70" customHeight="1" s="1">
      <c r="A65" s="9" t="inlineStr">
        <is>
          <t>上架组002</t>
        </is>
      </c>
      <c r="B65" s="9" t="inlineStr">
        <is>
          <t>JFPP00005</t>
        </is>
      </c>
      <c r="C65" s="19" t="inlineStr">
        <is>
          <t>待填</t>
        </is>
      </c>
      <c r="D65" s="9" t="inlineStr">
        <is>
          <t>新父体C</t>
        </is>
      </c>
      <c r="E65" s="15" t="n">
        <v>1</v>
      </c>
      <c r="F65" s="90">
        <f>E47</f>
        <v/>
      </c>
      <c r="G65" s="89">
        <f>ROUND(F47/C47,2)</f>
        <v/>
      </c>
      <c r="H65" s="9" t="inlineStr">
        <is>
          <t>5条OA共同关联同一个新父体，本组父体数为1，系数1.3。</t>
        </is>
      </c>
    </row>
    <row r="66" ht="13.85000038146973" customHeight="1" s="1">
      <c r="A66" s="3" t="n"/>
      <c r="B66" s="3" t="n"/>
      <c r="C66" s="3" t="n"/>
      <c r="D66" s="3" t="n"/>
      <c r="E66" s="3" t="n"/>
      <c r="F66" s="3" t="n"/>
      <c r="G66" s="3" t="n"/>
      <c r="H66" s="3" t="n"/>
    </row>
    <row r="67" ht="48" customHeight="1" s="1">
      <c r="A67" s="3" t="n"/>
      <c r="B67" s="12" t="inlineStr">
        <is>
          <t>7条OA分摊合计</t>
        </is>
      </c>
      <c r="C67" s="12" t="n"/>
      <c r="D67" s="12" t="n"/>
      <c r="E67" s="12" t="n"/>
      <c r="F67" s="12" t="n"/>
      <c r="G67" s="91">
        <f>SUM(G59:G65)</f>
        <v/>
      </c>
      <c r="H67" s="12" t="inlineStr">
        <is>
          <t>应等于上方两组总金额116元；组总金额和明细金额不能重复累计。</t>
        </is>
      </c>
    </row>
    <row r="68" ht="13.85000038146973" customHeight="1" s="1">
      <c r="A68" s="3" t="n"/>
      <c r="B68" s="3" t="n"/>
      <c r="C68" s="3" t="n"/>
      <c r="D68" s="3" t="n"/>
      <c r="E68" s="3" t="n"/>
      <c r="F68" s="3" t="n"/>
      <c r="G68" s="3" t="n"/>
      <c r="H68" s="3" t="n"/>
    </row>
    <row r="69" ht="13.85000038146973" customHeight="1" s="1">
      <c r="A69" s="3" t="n"/>
      <c r="B69" s="3" t="n"/>
      <c r="C69" s="3" t="n"/>
      <c r="D69" s="3" t="n"/>
      <c r="E69" s="3" t="n"/>
      <c r="F69" s="3" t="n"/>
      <c r="G69" s="3" t="n"/>
      <c r="H69" s="3" t="n"/>
    </row>
    <row r="70" ht="13.85000038146973" customHeight="1" s="1">
      <c r="A70" s="3" t="inlineStr">
        <is>
          <t>补充案例：图片、A+、视频、纠错及内容优化</t>
        </is>
      </c>
    </row>
    <row r="71" ht="14.64999961853027" customHeight="1" s="1">
      <c r="A71" s="21" t="inlineStr">
        <is>
          <t>工作项目</t>
        </is>
      </c>
      <c r="B71" s="21" t="inlineStr">
        <is>
          <t>实际场景</t>
        </is>
      </c>
      <c r="C71" s="21" t="inlineStr">
        <is>
          <t>累计基础金额</t>
        </is>
      </c>
      <c r="D71" s="21" t="inlineStr">
        <is>
          <t>难度系数</t>
        </is>
      </c>
      <c r="E71" s="21" t="inlineStr">
        <is>
          <t>任务金额</t>
        </is>
      </c>
      <c r="F71" s="21" t="inlineStr">
        <is>
          <t>计算依据</t>
        </is>
      </c>
      <c r="G71" s="21" t="inlineStr">
        <is>
          <t>结算说明</t>
        </is>
      </c>
      <c r="H71" s="21" t="inlineStr">
        <is>
          <t>备注</t>
        </is>
      </c>
    </row>
    <row r="72" ht="95" customHeight="1" s="1">
      <c r="A72" s="3" t="inlineStr">
        <is>
          <t>图片上传</t>
        </is>
      </c>
      <c r="B72" s="3" t="inlineStr">
        <is>
          <t>5个SKU均需向产品负责人取图</t>
        </is>
      </c>
      <c r="C72" s="92" t="n">
        <v>50</v>
      </c>
      <c r="D72" s="3" t="n">
        <v>1.3</v>
      </c>
      <c r="E72" s="92">
        <f>ROUND(C72*D72,2)</f>
        <v/>
      </c>
      <c r="F72" s="3" t="inlineStr">
        <is>
          <t>每SKU10元，取图系数1.3</t>
        </is>
      </c>
      <c r="G72" s="3" t="inlineStr">
        <is>
          <t>等待时间不额外增加金额。</t>
        </is>
      </c>
      <c r="H72" s="3" t="n"/>
    </row>
    <row r="73" ht="95" customHeight="1" s="1">
      <c r="A73" s="3" t="inlineStr">
        <is>
          <t>样品协调＋图片</t>
        </is>
      </c>
      <c r="B73" s="3" t="inlineStr">
        <is>
          <t>10个不同SKU共用一次备货及拍摄协调安排</t>
        </is>
      </c>
      <c r="C73" s="92" t="n">
        <v>125</v>
      </c>
      <c r="D73" s="3" t="n">
        <v>1</v>
      </c>
      <c r="E73" s="92">
        <f>ROUND(C73*D73,2)</f>
        <v/>
      </c>
      <c r="F73" s="3" t="inlineStr">
        <is>
          <t>协调25元＋10个SKU×10元＝125元</t>
        </is>
      </c>
      <c r="G73" s="3" t="inlineStr">
        <is>
          <t>协调工作只计一次，不再用图片取图系数。</t>
        </is>
      </c>
      <c r="H73" s="3" t="n"/>
    </row>
    <row r="74" ht="95" customHeight="1" s="1">
      <c r="A74" s="3" t="inlineStr">
        <is>
          <t>A+绑定</t>
        </is>
      </c>
      <c r="B74" s="3" t="inlineStr">
        <is>
          <t>1个SKU加入已有A+</t>
        </is>
      </c>
      <c r="C74" s="92" t="n">
        <v>5</v>
      </c>
      <c r="D74" s="3" t="n">
        <v>1</v>
      </c>
      <c r="E74" s="92">
        <f>ROUND(C74*D74,2)</f>
        <v/>
      </c>
      <c r="F74" s="3" t="inlineStr">
        <is>
          <t>1×5元</t>
        </is>
      </c>
      <c r="G74" s="3" t="inlineStr">
        <is>
          <t>固定系数1。</t>
        </is>
      </c>
      <c r="H74" s="3" t="n"/>
    </row>
    <row r="75" ht="95" customHeight="1" s="1">
      <c r="A75" s="3" t="inlineStr">
        <is>
          <t>A+绑定</t>
        </is>
      </c>
      <c r="B75" s="3" t="inlineStr">
        <is>
          <t>5个SKU加入5份已有A+</t>
        </is>
      </c>
      <c r="C75" s="92" t="n">
        <v>25</v>
      </c>
      <c r="D75" s="3" t="n">
        <v>1</v>
      </c>
      <c r="E75" s="92">
        <f>ROUND(C75*D75,2)</f>
        <v/>
      </c>
      <c r="F75" s="3" t="inlineStr">
        <is>
          <t>5×5元</t>
        </is>
      </c>
      <c r="G75" s="3" t="inlineStr">
        <is>
          <t>不同已有A+仍按SKU计。</t>
        </is>
      </c>
      <c r="H75" s="3" t="n"/>
    </row>
    <row r="76" ht="95" customHeight="1" s="1">
      <c r="A76" s="3" t="inlineStr">
        <is>
          <t>A+新建</t>
        </is>
      </c>
      <c r="B76" s="3" t="inlineStr">
        <is>
          <t>3份不同新A+</t>
        </is>
      </c>
      <c r="C76" s="92" t="n">
        <v>225</v>
      </c>
      <c r="D76" s="3" t="n">
        <v>1</v>
      </c>
      <c r="E76" s="92">
        <f>ROUND(C76*D76,2)</f>
        <v/>
      </c>
      <c r="F76" s="3" t="inlineStr">
        <is>
          <t>3份×75元＝225元</t>
        </is>
      </c>
      <c r="G76" s="3" t="inlineStr">
        <is>
          <t>按实际独立内容份数。</t>
        </is>
      </c>
      <c r="H76" s="3" t="n"/>
    </row>
    <row r="77" ht="95" customHeight="1" s="1">
      <c r="A77" s="3" t="inlineStr">
        <is>
          <t>A+混合</t>
        </is>
      </c>
      <c r="B77" s="3" t="inlineStr">
        <is>
          <t>新建1份，同时另有2个SKU加入其他已有A+</t>
        </is>
      </c>
      <c r="C77" s="92" t="n">
        <v>85</v>
      </c>
      <c r="D77" s="3" t="n">
        <v>1</v>
      </c>
      <c r="E77" s="92">
        <f>ROUND(C77*D77,2)</f>
        <v/>
      </c>
      <c r="F77" s="3" t="inlineStr">
        <is>
          <t>75元＋2个SKU×5元＝85元</t>
        </is>
      </c>
      <c r="G77" s="3" t="inlineStr">
        <is>
          <t>新建的首次绑定已包含；10元是另外的已有内容绑定。</t>
        </is>
      </c>
      <c r="H77" s="3" t="n"/>
    </row>
    <row r="78" ht="95" customHeight="1" s="1">
      <c r="A78" s="3" t="inlineStr">
        <is>
          <t>视频绑定</t>
        </is>
      </c>
      <c r="B78" s="3" t="inlineStr">
        <is>
          <t>5个SKU加入5个已有视频</t>
        </is>
      </c>
      <c r="C78" s="92" t="n">
        <v>25</v>
      </c>
      <c r="D78" s="3" t="n">
        <v>1</v>
      </c>
      <c r="E78" s="92">
        <f>ROUND(C78*D78,2)</f>
        <v/>
      </c>
      <c r="F78" s="3" t="inlineStr">
        <is>
          <t>每个视频绑定1个SKU，各5元</t>
        </is>
      </c>
      <c r="G78" s="3" t="inlineStr">
        <is>
          <t>同一批按目标视频分别计算。</t>
        </is>
      </c>
      <c r="H78" s="3" t="n"/>
    </row>
    <row r="79" ht="95" customHeight="1" s="1">
      <c r="A79" s="3" t="inlineStr">
        <is>
          <t>Listing纠错</t>
        </is>
      </c>
      <c r="B79" s="3" t="inlineStr">
        <is>
          <t>同一电压错误出现于多个内容位置</t>
        </is>
      </c>
      <c r="C79" s="92" t="n">
        <v>10</v>
      </c>
      <c r="D79" s="3" t="n">
        <v>1</v>
      </c>
      <c r="E79" s="92">
        <f>ROUND(C79*D79,2)</f>
        <v/>
      </c>
      <c r="F79" s="3" t="inlineStr">
        <is>
          <t>1个独立错误点×10元</t>
        </is>
      </c>
      <c r="G79" s="3" t="inlineStr">
        <is>
          <t>必须检查全部指定模块并修正同源错误。</t>
        </is>
      </c>
      <c r="H79" s="3" t="n"/>
    </row>
    <row r="80" ht="95" customHeight="1" s="1">
      <c r="A80" s="3" t="inlineStr">
        <is>
          <t>Listing纠错</t>
        </is>
      </c>
      <c r="B80" s="3" t="inlineStr">
        <is>
          <t>电压、尺寸、材质3个独立错误</t>
        </is>
      </c>
      <c r="C80" s="92" t="n">
        <v>30</v>
      </c>
      <c r="D80" s="3" t="n">
        <v>1</v>
      </c>
      <c r="E80" s="92">
        <f>ROUND(C80*D80,2)</f>
        <v/>
      </c>
      <c r="F80" s="3" t="inlineStr">
        <is>
          <t>30元</t>
        </is>
      </c>
      <c r="G80" s="3" t="inlineStr">
        <is>
          <t>修复自身操作错误不另增加金额。</t>
        </is>
      </c>
      <c r="H80" s="3" t="n"/>
    </row>
    <row r="81" ht="95" customHeight="1" s="1">
      <c r="A81" s="3" t="inlineStr">
        <is>
          <t>五点优化</t>
        </is>
      </c>
      <c r="B81" s="3" t="inlineStr">
        <is>
          <t>重写1点或重写全部五点</t>
        </is>
      </c>
      <c r="C81" s="92" t="n">
        <v>15</v>
      </c>
      <c r="D81" s="3" t="n">
        <v>1</v>
      </c>
      <c r="E81" s="92">
        <f>ROUND(C81*D81,2)</f>
        <v/>
      </c>
      <c r="F81" s="3" t="inlineStr">
        <is>
          <t>每轮每套15元</t>
        </is>
      </c>
      <c r="G81" s="3" t="inlineStr">
        <is>
          <t>复盘前追加修改并入原任务。</t>
        </is>
      </c>
      <c r="H81" s="3" t="n"/>
    </row>
    <row r="82" ht="95" customHeight="1" s="1">
      <c r="A82" s="3" t="inlineStr">
        <is>
          <t>描述优化</t>
        </is>
      </c>
      <c r="B82" s="3" t="inlineStr">
        <is>
          <t>重写一份描述</t>
        </is>
      </c>
      <c r="C82" s="92" t="n">
        <v>15</v>
      </c>
      <c r="D82" s="3" t="n">
        <v>1</v>
      </c>
      <c r="E82" s="92">
        <f>ROUND(C82*D82,2)</f>
        <v/>
      </c>
      <c r="F82" s="3" t="inlineStr">
        <is>
          <t>每份15元</t>
        </is>
      </c>
      <c r="G82" s="3" t="inlineStr">
        <is>
          <t>完成内容验收及复盘后结算。</t>
        </is>
      </c>
      <c r="H82" s="3" t="n"/>
    </row>
    <row r="83" ht="95" customHeight="1" s="1">
      <c r="A83" s="3" t="inlineStr">
        <is>
          <t>综合优化</t>
        </is>
      </c>
      <c r="B83" s="3" t="inlineStr">
        <is>
          <t>同一Listing重写标题、五点、描述、关键词并完全重做1份A+</t>
        </is>
      </c>
      <c r="C83" s="92" t="n">
        <v>125</v>
      </c>
      <c r="D83" s="3" t="n">
        <v>1</v>
      </c>
      <c r="E83" s="92">
        <f>ROUND(C83*D83,2)</f>
        <v/>
      </c>
      <c r="F83" s="3" t="inlineStr">
        <is>
          <t>10元＋15元＋15元＋10元＋75元＝125元</t>
        </is>
      </c>
      <c r="G83" s="3" t="inlineStr">
        <is>
          <t>同一方案合并登记和复盘；不得再领取A+制作发布75元。</t>
        </is>
      </c>
      <c r="H83" s="3" t="n"/>
    </row>
    <row r="84" ht="95" customHeight="1" s="1">
      <c r="A84" s="3" t="inlineStr">
        <is>
          <t>A+部分优化</t>
        </is>
      </c>
      <c r="B84" s="3" t="inlineStr">
        <is>
          <t>同一份A+实质修改3个模块</t>
        </is>
      </c>
      <c r="C84" s="92" t="n">
        <v>10</v>
      </c>
      <c r="D84" s="3" t="n">
        <v>1</v>
      </c>
      <c r="E84" s="92">
        <f>ROUND(C84*D84,2)</f>
        <v/>
      </c>
      <c r="F84" s="3" t="inlineStr">
        <is>
          <t>同一份同一轮合计10元</t>
        </is>
      </c>
      <c r="G84" s="3" t="inlineStr">
        <is>
          <t>不按模块数量累加</t>
        </is>
      </c>
      <c r="H84" s="3" t="n"/>
    </row>
    <row r="87" ht="30" customHeight="1" s="1">
      <c r="A87" s="0" t="inlineStr">
        <is>
          <t>变体关系维护：基础金额与难度系数分别选择</t>
        </is>
      </c>
    </row>
    <row r="88" ht="34" customHeight="1" s="1">
      <c r="A88" s="0" t="inlineStr">
        <is>
          <t>工作项目</t>
        </is>
      </c>
      <c r="B88" s="0" t="inlineStr">
        <is>
          <t>实际场景</t>
        </is>
      </c>
      <c r="C88" s="0" t="inlineStr">
        <is>
          <t>累计基础金额</t>
        </is>
      </c>
      <c r="D88" s="0" t="inlineStr">
        <is>
          <t>难度系数</t>
        </is>
      </c>
      <c r="E88" s="0" t="inlineStr">
        <is>
          <t>任务金额</t>
        </is>
      </c>
      <c r="F88" s="0" t="inlineStr">
        <is>
          <t>计算依据</t>
        </is>
      </c>
      <c r="G88" s="0" t="inlineStr">
        <is>
          <t>结算说明</t>
        </is>
      </c>
      <c r="H88" s="0" t="inlineStr">
        <is>
          <t>备注</t>
        </is>
      </c>
    </row>
    <row r="89" ht="105" customHeight="1" s="1">
      <c r="A89" s="0" t="inlineStr">
        <is>
          <t>变体关系维护</t>
        </is>
      </c>
      <c r="B89" s="0" t="inlineStr">
        <is>
          <t>原变体异常，需要排查后重新组合</t>
        </is>
      </c>
      <c r="C89" s="93" t="n">
        <v>40</v>
      </c>
      <c r="D89" s="22" t="n">
        <v>1.3</v>
      </c>
      <c r="E89" s="114">
        <f>ROUND(C89*D89,2)</f>
        <v/>
      </c>
      <c r="F89" s="0" t="inlineStr">
        <is>
          <t>解除原关系并重建：40元</t>
        </is>
      </c>
      <c r="G89" s="0" t="inlineStr">
        <is>
          <t>需排查确认原因：1.3</t>
        </is>
      </c>
      <c r="H89" s="0" t="inlineStr">
        <is>
          <t>40元×1.3＝52元</t>
        </is>
      </c>
    </row>
    <row r="90" ht="105" customHeight="1" s="1">
      <c r="A90" s="0" t="inlineStr">
        <is>
          <t>变体关系维护</t>
        </is>
      </c>
      <c r="B90" s="0" t="inlineStr">
        <is>
          <t>某个ASIN有问题，拆开重组；原因及方案明确</t>
        </is>
      </c>
      <c r="C90" s="93" t="n">
        <v>40</v>
      </c>
      <c r="D90" s="22" t="n">
        <v>1</v>
      </c>
      <c r="E90" s="114">
        <f>ROUND(C90*D90,2)</f>
        <v/>
      </c>
      <c r="F90" s="0" t="inlineStr">
        <is>
          <t>解除原关系并重建：40元</t>
        </is>
      </c>
      <c r="G90" s="0" t="inlineStr">
        <is>
          <t>直接按明确方案执行：1.0</t>
        </is>
      </c>
      <c r="H90" s="0" t="inlineStr">
        <is>
          <t>若需另行排查，系数1.3，计52元。</t>
        </is>
      </c>
    </row>
    <row r="91" ht="105" customHeight="1" s="1">
      <c r="A91" s="0" t="inlineStr">
        <is>
          <t>变体关系维护</t>
        </is>
      </c>
      <c r="B91" s="0" t="inlineStr">
        <is>
          <t>已上架的独立SKU加入已有变体</t>
        </is>
      </c>
      <c r="C91" s="93" t="n">
        <v>25</v>
      </c>
      <c r="D91" s="22" t="n">
        <v>1</v>
      </c>
      <c r="E91" s="114">
        <f>ROUND(C91*D91,2)</f>
        <v/>
      </c>
      <c r="F91" s="0" t="inlineStr">
        <is>
          <t>不解除旧关系，加入已有变体：25元</t>
        </is>
      </c>
      <c r="G91" s="0" t="inlineStr">
        <is>
          <t>直接执行：1.0</t>
        </is>
      </c>
      <c r="H91" s="0" t="inlineStr">
        <is>
          <t>若SKU原本属于其他父体、需解绑迁移，基础金额改为40元。</t>
        </is>
      </c>
    </row>
    <row r="92" ht="105" customHeight="1" s="1">
      <c r="A92" s="0" t="inlineStr">
        <is>
          <t>变体关系维护</t>
        </is>
      </c>
      <c r="B92" s="0" t="inlineStr">
        <is>
          <t>选项名称有误，仅修改名称即可</t>
        </is>
      </c>
      <c r="C92" s="93" t="n">
        <v>15</v>
      </c>
      <c r="D92" s="22" t="n">
        <v>1</v>
      </c>
      <c r="E92" s="114">
        <f>ROUND(C92*D92,2)</f>
        <v/>
      </c>
      <c r="F92" s="0" t="inlineStr">
        <is>
          <t>仅修正名称或属性值：15元</t>
        </is>
      </c>
      <c r="G92" s="0" t="inlineStr">
        <is>
          <t>原因及方案明确：1.0</t>
        </is>
      </c>
      <c r="H92" s="0" t="inlineStr">
        <is>
          <t>不需要解除或重建关系。</t>
        </is>
      </c>
    </row>
    <row r="93" ht="105" customHeight="1" s="1">
      <c r="A93" s="0" t="inlineStr">
        <is>
          <t>变体关系维护</t>
        </is>
      </c>
      <c r="B93" s="0" t="inlineStr">
        <is>
          <t>选项名称有误，必须拆开重建；方案明确</t>
        </is>
      </c>
      <c r="C93" s="93" t="n">
        <v>40</v>
      </c>
      <c r="D93" s="22" t="n">
        <v>1</v>
      </c>
      <c r="E93" s="114">
        <f>ROUND(C93*D93,2)</f>
        <v/>
      </c>
      <c r="F93" s="0" t="inlineStr">
        <is>
          <t>解除并重建关系：40元</t>
        </is>
      </c>
      <c r="G93" s="0" t="inlineStr">
        <is>
          <t>直接按明确方案执行：1.0</t>
        </is>
      </c>
      <c r="H93" s="0" t="inlineStr">
        <is>
          <t>不再叠加名称修改15元。</t>
        </is>
      </c>
    </row>
    <row r="94" ht="105" customHeight="1" s="1">
      <c r="A94" s="0" t="inlineStr">
        <is>
          <t>变体关系维护</t>
        </is>
      </c>
      <c r="B94" s="0" t="inlineStr">
        <is>
          <t>原来独立的已上架商品，现在组成一个新变体</t>
        </is>
      </c>
      <c r="C94" s="93" t="n">
        <v>40</v>
      </c>
      <c r="D94" s="22" t="n">
        <v>1</v>
      </c>
      <c r="E94" s="114">
        <f>ROUND(C94*D94,2)</f>
        <v/>
      </c>
      <c r="F94" s="0" t="inlineStr">
        <is>
          <t>建立新变体：40元</t>
        </is>
      </c>
      <c r="G94" s="0" t="inlineStr">
        <is>
          <t>资料齐全、方案明确：1.0</t>
        </is>
      </c>
      <c r="H94" s="0" t="inlineStr">
        <is>
          <t>多个SKU共同组成同一变体，只计一个方案。</t>
        </is>
      </c>
    </row>
    <row r="95" ht="105" customHeight="1" s="1">
      <c r="A95" s="0" t="inlineStr">
        <is>
          <t>变体关系维护</t>
        </is>
      </c>
      <c r="B95" s="0" t="inlineStr">
        <is>
          <t>排查异常后，在两个及以上父体之间拆分、迁移或重建</t>
        </is>
      </c>
      <c r="C95" s="93" t="n">
        <v>40</v>
      </c>
      <c r="D95" s="22" t="n">
        <v>1.6</v>
      </c>
      <c r="E95" s="114">
        <f>ROUND(C95*D95,2)</f>
        <v/>
      </c>
      <c r="F95" s="0" t="inlineStr">
        <is>
          <t>解除原关系或重建：40元</t>
        </is>
      </c>
      <c r="G95" s="0" t="inlineStr">
        <is>
          <t>需排查，且跨两个及以上父体处理：1.6</t>
        </is>
      </c>
      <c r="H95" s="0" t="inlineStr">
        <is>
          <t>整套方案64元，不按父体分别领取完整金额。</t>
        </is>
      </c>
    </row>
    <row r="98" ht="30" customHeight="1" s="1">
      <c r="A98" s="0" t="inlineStr">
        <is>
          <t>A+内容增删修改与视频信息维护补充案例</t>
        </is>
      </c>
    </row>
    <row r="99" ht="34" customHeight="1" s="1">
      <c r="A99" s="0" t="inlineStr">
        <is>
          <t>工作项目</t>
        </is>
      </c>
      <c r="B99" s="0" t="inlineStr">
        <is>
          <t>实际场景</t>
        </is>
      </c>
      <c r="C99" s="0" t="inlineStr">
        <is>
          <t>累计基础金额</t>
        </is>
      </c>
      <c r="D99" s="0" t="inlineStr">
        <is>
          <t>难度系数</t>
        </is>
      </c>
      <c r="E99" s="0" t="inlineStr">
        <is>
          <t>任务金额</t>
        </is>
      </c>
      <c r="F99" s="0" t="inlineStr">
        <is>
          <t>计算依据</t>
        </is>
      </c>
      <c r="G99" s="0" t="inlineStr">
        <is>
          <t>结算说明</t>
        </is>
      </c>
      <c r="H99" s="0" t="inlineStr">
        <is>
          <t>备注</t>
        </is>
      </c>
    </row>
    <row r="100" ht="105" customHeight="1" s="1">
      <c r="A100" s="0" t="inlineStr">
        <is>
          <t>A+内容增删修改</t>
        </is>
      </c>
      <c r="B100" s="0" t="inlineStr">
        <is>
          <t>同一模块增加两项参数</t>
        </is>
      </c>
      <c r="C100" s="114" t="n">
        <v>10</v>
      </c>
      <c r="D100" s="0" t="n">
        <v>1</v>
      </c>
      <c r="E100" s="114">
        <f>ROUND(C100*D100,2)</f>
        <v/>
      </c>
      <c r="F100" s="0" t="inlineStr">
        <is>
          <t>同模块多处修改计入本轮10元</t>
        </is>
      </c>
      <c r="G100" s="0" t="inlineStr">
        <is>
          <t>同一份同一轮合计10元，不按模块数量累加</t>
        </is>
      </c>
      <c r="H100" s="0" t="n"/>
    </row>
    <row r="101" ht="105" customHeight="1" s="1">
      <c r="A101" s="0" t="inlineStr">
        <is>
          <t>A+内容增删修改</t>
        </is>
      </c>
      <c r="B101" s="0" t="inlineStr">
        <is>
          <t>一个模块增加信息，另一个模块删除信息</t>
        </is>
      </c>
      <c r="C101" s="114" t="n">
        <v>10</v>
      </c>
      <c r="D101" s="0" t="n">
        <v>1</v>
      </c>
      <c r="E101" s="114">
        <f>ROUND(C101*D101,2)</f>
        <v/>
      </c>
      <c r="F101" s="0" t="inlineStr">
        <is>
          <t>同一份同一轮合计10元</t>
        </is>
      </c>
      <c r="G101" s="0" t="inlineStr">
        <is>
          <t>不按模块数量累加</t>
        </is>
      </c>
      <c r="H101" s="0" t="n"/>
    </row>
    <row r="102" ht="105" customHeight="1" s="1">
      <c r="A102" s="0" t="inlineStr">
        <is>
          <t>视频上传与信息维护</t>
        </is>
      </c>
      <c r="B102" s="0" t="inlineStr">
        <is>
          <t>修改1个已有视频的标题等信息</t>
        </is>
      </c>
      <c r="C102" s="114" t="n">
        <v>5</v>
      </c>
      <c r="D102" s="0" t="n">
        <v>1</v>
      </c>
      <c r="E102" s="114">
        <f>ROUND(C102*D102,2)</f>
        <v/>
      </c>
      <c r="F102" s="0" t="inlineStr">
        <is>
          <t>每个视频每轮5元</t>
        </is>
      </c>
      <c r="G102" s="0" t="inlineStr">
        <is>
          <t>同时修改多处信息不重复计费</t>
        </is>
      </c>
      <c r="H102" s="0" t="n"/>
    </row>
    <row r="103" ht="105" customHeight="1" s="1">
      <c r="A103" s="0" t="inlineStr">
        <is>
          <t>视频上传与信息维护</t>
        </is>
      </c>
      <c r="B103" s="0" t="inlineStr">
        <is>
          <t>替换上传1个视频，并填写标题及首次绑定ASIN</t>
        </is>
      </c>
      <c r="C103" s="114" t="n">
        <v>15</v>
      </c>
      <c r="D103" s="0" t="n">
        <v>1</v>
      </c>
      <c r="E103" s="114">
        <f>ROUND(C103*D103,2)</f>
        <v/>
      </c>
      <c r="F103" s="0" t="inlineStr">
        <is>
          <t>上传或替换15元</t>
        </is>
      </c>
      <c r="G103" s="0" t="inlineStr">
        <is>
          <t>不叠加标题修改或首次绑定金额</t>
        </is>
      </c>
      <c r="H103" s="0" t="n"/>
    </row>
    <row r="104" ht="105" customHeight="1" s="1">
      <c r="A104" s="0" t="inlineStr">
        <is>
          <t>视频上传与信息维护</t>
        </is>
      </c>
      <c r="B104" s="0" t="inlineStr">
        <is>
          <t>已有视频改标题，并新增1个SKU对应ASIN</t>
        </is>
      </c>
      <c r="C104" s="114" t="n">
        <v>10</v>
      </c>
      <c r="D104" s="0" t="n">
        <v>1</v>
      </c>
      <c r="E104" s="114">
        <f>ROUND(C104*D104,2)</f>
        <v/>
      </c>
      <c r="F104" s="0" t="inlineStr">
        <is>
          <t>标题5元＋绑定5元</t>
        </is>
      </c>
      <c r="G104" s="0" t="inlineStr">
        <is>
          <t>同视频同轮任务</t>
        </is>
      </c>
      <c r="H104" s="0" t="n"/>
    </row>
    <row r="105" ht="105" customHeight="1" s="1">
      <c r="A105" s="0" t="inlineStr">
        <is>
          <t>视频上传与信息维护</t>
        </is>
      </c>
      <c r="B105" s="0" t="inlineStr">
        <is>
          <t>已有视频改标题，并新增5个SKU对应ASIN</t>
        </is>
      </c>
      <c r="C105" s="114" t="n">
        <v>15</v>
      </c>
      <c r="D105" s="0" t="n">
        <v>1</v>
      </c>
      <c r="E105" s="114">
        <f>ROUND(C105*D105,2)</f>
        <v/>
      </c>
      <c r="F105" s="0" t="inlineStr">
        <is>
          <t>标题5元＋绑定10元</t>
        </is>
      </c>
      <c r="G105" s="0" t="inlineStr">
        <is>
          <t>多个ASIN共用同一已有视频</t>
        </is>
      </c>
      <c r="H105" s="0" t="n"/>
    </row>
    <row r="106" ht="105" customHeight="1" s="1">
      <c r="A106" s="0" t="inlineStr">
        <is>
          <t>视频上传与信息维护</t>
        </is>
      </c>
      <c r="B106" s="0" t="inlineStr">
        <is>
          <t>上传失败后的重试或重复上传同一文件</t>
        </is>
      </c>
      <c r="C106" s="114" t="n">
        <v>0</v>
      </c>
      <c r="D106" s="0" t="n">
        <v>1</v>
      </c>
      <c r="E106" s="114">
        <f>ROUND(C106*D106,2)</f>
        <v/>
      </c>
      <c r="F106" s="0" t="inlineStr">
        <is>
          <t>不新增金额</t>
        </is>
      </c>
      <c r="G106" s="0" t="inlineStr">
        <is>
          <t>并入原任务，不单独计费</t>
        </is>
      </c>
      <c r="H106" s="0" t="n"/>
    </row>
    <row r="109" ht="30" customHeight="1" s="1">
      <c r="A109" s="0" t="inlineStr">
        <is>
          <t>价格调整、Coupon与Promotion创建及主动改善计费示例</t>
        </is>
      </c>
    </row>
    <row r="110" ht="34" customHeight="1" s="1">
      <c r="A110" s="0" t="inlineStr">
        <is>
          <t>工作项目</t>
        </is>
      </c>
      <c r="B110" s="0" t="inlineStr">
        <is>
          <t>实际场景</t>
        </is>
      </c>
      <c r="C110" s="0" t="inlineStr">
        <is>
          <t>累计基础金额</t>
        </is>
      </c>
      <c r="D110" s="0" t="inlineStr">
        <is>
          <t>难度系数</t>
        </is>
      </c>
      <c r="E110" s="0" t="inlineStr">
        <is>
          <t>任务金额</t>
        </is>
      </c>
      <c r="F110" s="0" t="inlineStr">
        <is>
          <t>计算依据</t>
        </is>
      </c>
      <c r="G110" s="0" t="inlineStr">
        <is>
          <t>结算说明</t>
        </is>
      </c>
      <c r="H110" s="0" t="inlineStr">
        <is>
          <t>备注</t>
        </is>
      </c>
    </row>
    <row r="111" ht="105" customHeight="1" s="1">
      <c r="A111" s="0" t="inlineStr">
        <is>
          <t>价格调整</t>
        </is>
      </c>
      <c r="B111" s="0" t="inlineStr">
        <is>
          <t>一次安排10个SKU按各自指定价格调整</t>
        </is>
      </c>
      <c r="C111" s="114" t="n">
        <v>15</v>
      </c>
      <c r="D111" s="0" t="n">
        <v>1</v>
      </c>
      <c r="E111" s="114" t="n">
        <v>15</v>
      </c>
      <c r="F111" s="0" t="inlineStr">
        <is>
          <t>同次安排计一批</t>
        </is>
      </c>
      <c r="G111" s="0" t="inlineStr">
        <is>
          <t>OA拆分不增加批次</t>
        </is>
      </c>
      <c r="H111" s="0" t="n"/>
    </row>
    <row r="112" ht="105" customHeight="1" s="1">
      <c r="A112" s="0" t="inlineStr">
        <is>
          <t>Coupon与Promotion创建</t>
        </is>
      </c>
      <c r="B112" s="0" t="inlineStr">
        <is>
          <t>创建1个Coupon，含20个SKU</t>
        </is>
      </c>
      <c r="C112" s="114" t="n">
        <v>15</v>
      </c>
      <c r="D112" s="0" t="n">
        <v>1</v>
      </c>
      <c r="E112" s="114" t="n">
        <v>15</v>
      </c>
      <c r="F112" s="0" t="inlineStr">
        <is>
          <t>每个独立活动15元</t>
        </is>
      </c>
      <c r="G112" s="0" t="inlineStr">
        <is>
          <t>不按SKU数量增加</t>
        </is>
      </c>
      <c r="H112" s="0" t="n"/>
    </row>
    <row r="113" ht="105" customHeight="1" s="1">
      <c r="A113" s="0" t="inlineStr">
        <is>
          <t>Coupon与Promotion创建</t>
        </is>
      </c>
      <c r="B113" s="0" t="inlineStr">
        <is>
          <t>创建3个Coupon和2个Promotion</t>
        </is>
      </c>
      <c r="C113" s="114" t="n">
        <v>75</v>
      </c>
      <c r="D113" s="0" t="n">
        <v>1</v>
      </c>
      <c r="E113" s="114" t="n">
        <v>75</v>
      </c>
      <c r="F113" s="0" t="inlineStr">
        <is>
          <t>5×15元</t>
        </is>
      </c>
      <c r="G113" s="0" t="inlineStr">
        <is>
          <t>实际需要分别创建的5个活动</t>
        </is>
      </c>
      <c r="H113" s="0" t="n"/>
    </row>
    <row r="114" ht="105" customHeight="1" s="1">
      <c r="A114" s="0" t="inlineStr">
        <is>
          <t>主动Buy Box处理</t>
        </is>
      </c>
      <c r="B114" s="0" t="inlineStr">
        <is>
          <t>主动发现并完成3个不同ASIN的Buy Box处理，均验收且符合1.5倍条件</t>
        </is>
      </c>
      <c r="C114" s="114" t="n">
        <v>45</v>
      </c>
      <c r="D114" s="0" t="n">
        <v>1</v>
      </c>
      <c r="E114" s="114">
        <f>ROUND(C114*D114*1.5,2)</f>
        <v/>
      </c>
      <c r="F114" s="0" t="inlineStr">
        <is>
          <t>正常金额3×15元，再乘主动倍率1.5</t>
        </is>
      </c>
      <c r="G114" s="0" t="inlineStr">
        <is>
          <t>按对应任务实际完成及验收认定</t>
        </is>
      </c>
      <c r="H114" s="0" t="inlineStr">
        <is>
          <t>此例主动倍率已在E列公式中计算，不再重复乘。</t>
        </is>
      </c>
    </row>
    <row r="117" ht="30" customHeight="1" s="1">
      <c r="A117" s="0" t="inlineStr">
        <is>
          <t>Buy Box异常处理：基础15元/ASIN，处理验收与恢复结果分开记录</t>
        </is>
      </c>
    </row>
    <row r="118" ht="34" customHeight="1" s="1">
      <c r="A118" s="0" t="inlineStr">
        <is>
          <t>工作项目</t>
        </is>
      </c>
      <c r="B118" s="0" t="inlineStr">
        <is>
          <t>实际场景</t>
        </is>
      </c>
      <c r="C118" s="0" t="inlineStr">
        <is>
          <t>累计基础金额</t>
        </is>
      </c>
      <c r="D118" s="0" t="inlineStr">
        <is>
          <t>难度系数</t>
        </is>
      </c>
      <c r="E118" s="0" t="inlineStr">
        <is>
          <t>任务金额</t>
        </is>
      </c>
      <c r="F118" s="0" t="inlineStr">
        <is>
          <t>计算依据</t>
        </is>
      </c>
      <c r="G118" s="0" t="inlineStr">
        <is>
          <t>结算说明</t>
        </is>
      </c>
      <c r="H118" s="0" t="inlineStr">
        <is>
          <t>备注</t>
        </is>
      </c>
    </row>
    <row r="119" ht="105" customHeight="1" s="1">
      <c r="A119" s="0" t="inlineStr">
        <is>
          <t>Buy Box异常处理</t>
        </is>
      </c>
      <c r="B119" s="0" t="inlineStr">
        <is>
          <t>同站点1个ASIN：首次开Case后恢复</t>
        </is>
      </c>
      <c r="C119" s="114" t="n">
        <v>15</v>
      </c>
      <c r="D119" s="0" t="n">
        <v>1</v>
      </c>
      <c r="E119" s="114" t="n">
        <v>15</v>
      </c>
      <c r="F119" s="0" t="inlineStr">
        <is>
          <t>完成规定处理及恢复核验</t>
        </is>
      </c>
      <c r="G119" s="0" t="inlineStr">
        <is>
          <t>15元</t>
        </is>
      </c>
      <c r="H119" s="0" t="n"/>
    </row>
    <row r="120" ht="105" customHeight="1" s="1">
      <c r="A120" s="0" t="inlineStr">
        <is>
          <t>Buy Box异常处理</t>
        </is>
      </c>
      <c r="B120" s="0" t="inlineStr">
        <is>
          <t>同站点1个ASIN：多次开Case后恢复</t>
        </is>
      </c>
      <c r="C120" s="114" t="n">
        <v>15</v>
      </c>
      <c r="D120" s="0" t="n">
        <v>1</v>
      </c>
      <c r="E120" s="114" t="n">
        <v>15</v>
      </c>
      <c r="F120" s="0" t="inlineStr">
        <is>
          <t>同一站点同一ASIN同一异常合并计费</t>
        </is>
      </c>
      <c r="G120" s="0" t="inlineStr">
        <is>
          <t>不按Case数量增加金额</t>
        </is>
      </c>
      <c r="H120" s="0" t="n"/>
    </row>
    <row r="121" ht="105" customHeight="1" s="1">
      <c r="A121" s="0" t="inlineStr">
        <is>
          <t>Buy Box异常处理</t>
        </is>
      </c>
      <c r="B121" s="0" t="inlineStr">
        <is>
          <t>同站点1个ASIN：未恢复，经负责人确认阶段结案</t>
        </is>
      </c>
      <c r="C121" s="114" t="n">
        <v>15</v>
      </c>
      <c r="D121" s="0" t="n">
        <v>1</v>
      </c>
      <c r="E121" s="114" t="n">
        <v>15</v>
      </c>
      <c r="F121" s="0" t="inlineStr">
        <is>
          <t>取证截图、Case编号及最终回复齐全</t>
        </is>
      </c>
      <c r="G121" s="0" t="inlineStr">
        <is>
          <t>恢复状态仍记“未恢复”，不是“已解决”</t>
        </is>
      </c>
      <c r="H121" s="0" t="n"/>
    </row>
    <row r="122" ht="105" customHeight="1" s="1">
      <c r="A122" s="0" t="inlineStr">
        <is>
          <t>Buy Box异常处理</t>
        </is>
      </c>
      <c r="B122" s="0" t="inlineStr">
        <is>
          <t>同站点1个ASIN：未恢复，仍在处理中</t>
        </is>
      </c>
      <c r="D122" s="0" t="n">
        <v>1</v>
      </c>
      <c r="E122" s="0">
        <f>IF(ISNUMBER(C122),ROUND(C122*D122,2),"")</f>
        <v/>
      </c>
      <c r="F122" s="0" t="inlineStr">
        <is>
          <t>未完成验收，暂不结算</t>
        </is>
      </c>
      <c r="G122" s="0" t="inlineStr">
        <is>
          <t>金额留空表示待结算，不是任务定为0元</t>
        </is>
      </c>
      <c r="H122" s="0" t="n"/>
    </row>
    <row r="123" ht="105" customHeight="1" s="1">
      <c r="A123" s="0" t="inlineStr">
        <is>
          <t>Buy Box异常处理</t>
        </is>
      </c>
      <c r="B123" s="0" t="inlineStr">
        <is>
          <t>同站点1个ASIN：已阶段结案计15元，后续同一异常恢复</t>
        </is>
      </c>
      <c r="C123" s="114" t="n">
        <v>0</v>
      </c>
      <c r="D123" s="0" t="n">
        <v>1</v>
      </c>
      <c r="E123" s="114" t="n">
        <v>0</v>
      </c>
      <c r="F123" s="0" t="inlineStr">
        <is>
          <t>本次不新增金额</t>
        </is>
      </c>
      <c r="G123" s="0" t="inlineStr">
        <is>
          <t>同一站点同一ASIN同一异常基础金额累计15元</t>
        </is>
      </c>
      <c r="H123" s="0" t="n"/>
    </row>
    <row r="126" ht="30" customHeight="1" s="1">
      <c r="A126" s="0" t="inlineStr">
        <is>
          <t>Deal提报及促销报错的计费边界</t>
        </is>
      </c>
    </row>
    <row r="127" ht="34" customHeight="1" s="1">
      <c r="A127" s="0" t="inlineStr">
        <is>
          <t>工作项目</t>
        </is>
      </c>
      <c r="B127" s="0" t="inlineStr">
        <is>
          <t>实际场景</t>
        </is>
      </c>
      <c r="C127" s="0" t="inlineStr">
        <is>
          <t>累计基础金额</t>
        </is>
      </c>
      <c r="D127" s="0" t="inlineStr">
        <is>
          <t>难度系数</t>
        </is>
      </c>
      <c r="E127" s="0" t="inlineStr">
        <is>
          <t>任务金额</t>
        </is>
      </c>
      <c r="F127" s="0" t="inlineStr">
        <is>
          <t>计算依据</t>
        </is>
      </c>
      <c r="G127" s="0" t="inlineStr">
        <is>
          <t>结算说明</t>
        </is>
      </c>
      <c r="H127" s="0" t="inlineStr">
        <is>
          <t>备注</t>
        </is>
      </c>
    </row>
    <row r="128" ht="105" customHeight="1" s="1">
      <c r="A128" s="0" t="inlineStr">
        <is>
          <t>Deal活动提报</t>
        </is>
      </c>
      <c r="B128" s="0" t="inlineStr">
        <is>
          <t>提报1个独立Deal，包含多个SKU</t>
        </is>
      </c>
      <c r="C128" s="114" t="n">
        <v>10</v>
      </c>
      <c r="D128" s="0" t="n">
        <v>1</v>
      </c>
      <c r="E128" s="114" t="n">
        <v>10</v>
      </c>
      <c r="F128" s="0" t="inlineStr">
        <is>
          <t>每Deal10元</t>
        </is>
      </c>
      <c r="G128" s="0" t="inlineStr">
        <is>
          <t>完成提报及提交结果核验，审批状态单独记录</t>
        </is>
      </c>
      <c r="H128" s="0" t="n"/>
    </row>
    <row r="129" ht="105" customHeight="1" s="1">
      <c r="A129" s="0" t="inlineStr">
        <is>
          <t>Deal活动提报</t>
        </is>
      </c>
      <c r="B129" s="0" t="inlineStr">
        <is>
          <t>提报5个独立Deal</t>
        </is>
      </c>
      <c r="C129" s="114" t="n">
        <v>50</v>
      </c>
      <c r="D129" s="0" t="n">
        <v>1</v>
      </c>
      <c r="E129" s="114" t="n">
        <v>50</v>
      </c>
      <c r="F129" s="0" t="inlineStr">
        <is>
          <t>50元</t>
        </is>
      </c>
      <c r="G129" s="0" t="inlineStr">
        <is>
          <t>不按商品数增加</t>
        </is>
      </c>
      <c r="H129" s="0" t="n"/>
    </row>
    <row r="130" ht="105" customHeight="1" s="1">
      <c r="A130" s="0" t="inlineStr">
        <is>
          <t>Coupon与Promotion创建</t>
        </is>
      </c>
      <c r="B130" s="0" t="inlineStr">
        <is>
          <t>1个活动创建中报错，修正后重新提交并核验</t>
        </is>
      </c>
      <c r="C130" s="114" t="n">
        <v>15</v>
      </c>
      <c r="D130" s="0" t="n">
        <v>1</v>
      </c>
      <c r="E130" s="114" t="n">
        <v>15</v>
      </c>
      <c r="F130" s="0" t="inlineStr">
        <is>
          <t>原活动总计15元</t>
        </is>
      </c>
      <c r="G130" s="0" t="inlineStr">
        <is>
          <t>报错修正及重试不另计费</t>
        </is>
      </c>
      <c r="H130" s="0" t="n"/>
    </row>
    <row r="131" ht="105" customHeight="1" s="1">
      <c r="A131" s="0" t="inlineStr">
        <is>
          <t>Deal活动提报</t>
        </is>
      </c>
      <c r="B131" s="0" t="inlineStr">
        <is>
          <t>同一Deal提交失败，修正参数后重新提报并核验</t>
        </is>
      </c>
      <c r="C131" s="114" t="n">
        <v>10</v>
      </c>
      <c r="D131" s="0" t="n">
        <v>1</v>
      </c>
      <c r="E131" s="114" t="n">
        <v>10</v>
      </c>
      <c r="F131" s="0" t="inlineStr">
        <is>
          <t>原Deal总计10元</t>
        </is>
      </c>
      <c r="G131" s="0" t="inlineStr">
        <is>
          <t>不另计异常处理金额</t>
        </is>
      </c>
      <c r="H131" s="0" t="n"/>
    </row>
    <row r="134" ht="30" customHeight="1" s="1">
      <c r="A134" s="0" t="inlineStr">
        <is>
          <t>广告创建：按Campaign计费，关联Ads Change认领记录</t>
        </is>
      </c>
    </row>
    <row r="135" ht="34" customHeight="1" s="1">
      <c r="A135" s="0" t="inlineStr">
        <is>
          <t>工作项目</t>
        </is>
      </c>
      <c r="B135" s="0" t="inlineStr">
        <is>
          <t>实际场景</t>
        </is>
      </c>
      <c r="C135" s="0" t="inlineStr">
        <is>
          <t>累计基础金额</t>
        </is>
      </c>
      <c r="D135" s="0" t="inlineStr">
        <is>
          <t>难度系数</t>
        </is>
      </c>
      <c r="E135" s="0" t="inlineStr">
        <is>
          <t>任务金额</t>
        </is>
      </c>
      <c r="F135" s="0" t="inlineStr">
        <is>
          <t>计算依据</t>
        </is>
      </c>
      <c r="G135" s="0" t="inlineStr">
        <is>
          <t>结算说明</t>
        </is>
      </c>
      <c r="H135" s="0" t="inlineStr">
        <is>
          <t>备注</t>
        </is>
      </c>
    </row>
    <row r="136" ht="105" customHeight="1" s="1">
      <c r="A136" s="0" t="inlineStr">
        <is>
          <t>SP广告创建</t>
        </is>
      </c>
      <c r="B136" s="0" t="inlineStr">
        <is>
          <t>创建3个独立SP Campaign</t>
        </is>
      </c>
      <c r="C136" s="114" t="n">
        <v>45</v>
      </c>
      <c r="D136" s="0" t="n">
        <v>1</v>
      </c>
      <c r="E136" s="114" t="n">
        <v>45</v>
      </c>
      <c r="F136" s="0" t="inlineStr">
        <is>
          <t>3×15元</t>
        </is>
      </c>
      <c r="G136" s="0" t="inlineStr">
        <is>
          <t>认领变化、关联任务、填写原因并核验后计费</t>
        </is>
      </c>
      <c r="H136" s="0" t="inlineStr">
        <is>
          <t>自主发起按正常金额×主动倍率计算</t>
        </is>
      </c>
    </row>
    <row r="137" ht="105" customHeight="1" s="1">
      <c r="A137" s="0" t="inlineStr">
        <is>
          <t>SB广告创建</t>
        </is>
      </c>
      <c r="B137" s="0" t="inlineStr">
        <is>
          <t>创建3个独立SB Campaign</t>
        </is>
      </c>
      <c r="C137" s="114" t="n">
        <v>60</v>
      </c>
      <c r="D137" s="0" t="n">
        <v>1</v>
      </c>
      <c r="E137" s="114" t="n">
        <v>60</v>
      </c>
      <c r="F137" s="0" t="inlineStr">
        <is>
          <t>3×20元</t>
        </is>
      </c>
      <c r="G137" s="0" t="inlineStr">
        <is>
          <t>认领变化、关联任务、填写原因并核验后计费</t>
        </is>
      </c>
      <c r="H137" s="0" t="inlineStr">
        <is>
          <t>自主发起按正常金额×主动倍率计算</t>
        </is>
      </c>
    </row>
    <row r="138" ht="105" customHeight="1" s="1">
      <c r="A138" s="0" t="inlineStr">
        <is>
          <t>SBV广告创建</t>
        </is>
      </c>
      <c r="B138" s="0" t="inlineStr">
        <is>
          <t>创建1个SBV Campaign</t>
        </is>
      </c>
      <c r="C138" s="114" t="n">
        <v>20</v>
      </c>
      <c r="D138" s="0" t="n">
        <v>1</v>
      </c>
      <c r="E138" s="114" t="n">
        <v>20</v>
      </c>
      <c r="F138" s="0" t="inlineStr">
        <is>
          <t>只计SBV，不同时计SB</t>
        </is>
      </c>
      <c r="G138" s="0" t="inlineStr">
        <is>
          <t>认领变化、关联任务、填写原因并核验后计费</t>
        </is>
      </c>
      <c r="H138" s="0" t="inlineStr">
        <is>
          <t>自主发起按正常金额×主动倍率计算</t>
        </is>
      </c>
    </row>
    <row r="139" ht="105" customHeight="1" s="1">
      <c r="A139" s="0" t="inlineStr">
        <is>
          <t>SD广告创建</t>
        </is>
      </c>
      <c r="B139" s="0" t="inlineStr">
        <is>
          <t>创建1个SD Campaign</t>
        </is>
      </c>
      <c r="C139" s="114" t="n">
        <v>20</v>
      </c>
      <c r="D139" s="0" t="n">
        <v>1</v>
      </c>
      <c r="E139" s="114" t="n">
        <v>20</v>
      </c>
      <c r="F139" s="0" t="inlineStr">
        <is>
          <t>不按目标或素材数增加金额</t>
        </is>
      </c>
      <c r="G139" s="0" t="inlineStr">
        <is>
          <t>认领变化、关联任务、填写原因并核验后计费</t>
        </is>
      </c>
      <c r="H139" s="0" t="inlineStr">
        <is>
          <t>自主发起按正常金额×主动倍率计算</t>
        </is>
      </c>
    </row>
    <row r="140" ht="105" customHeight="1" s="1">
      <c r="A140" s="0" t="inlineStr">
        <is>
          <t>SP广告创建</t>
        </is>
      </c>
      <c r="B140" s="0" t="inlineStr">
        <is>
          <t>1个SP Campaign产生多条Ads Change记录</t>
        </is>
      </c>
      <c r="C140" s="114" t="n">
        <v>15</v>
      </c>
      <c r="D140" s="0" t="n">
        <v>1</v>
      </c>
      <c r="E140" s="114" t="n">
        <v>15</v>
      </c>
      <c r="F140" s="0" t="inlineStr">
        <is>
          <t>按Campaign ID去重，只计一次</t>
        </is>
      </c>
      <c r="G140" s="0" t="inlineStr">
        <is>
          <t>认领变化、关联任务、填写原因并核验后计费</t>
        </is>
      </c>
      <c r="H140" s="0" t="inlineStr">
        <is>
          <t>自主发起按正常金额×主动倍率计算</t>
        </is>
      </c>
    </row>
    <row r="143" ht="30" customHeight="1" s="1">
      <c r="A143" s="24" t="inlineStr">
        <is>
          <t>广告执行调整：按Campaign×调整次数计费</t>
        </is>
      </c>
    </row>
    <row r="144" ht="34" customHeight="1" s="1">
      <c r="A144" s="25" t="inlineStr">
        <is>
          <t>工作项目</t>
        </is>
      </c>
      <c r="B144" s="25" t="inlineStr">
        <is>
          <t>实际场景</t>
        </is>
      </c>
      <c r="C144" s="25" t="inlineStr">
        <is>
          <t>累计基础金额</t>
        </is>
      </c>
      <c r="D144" s="25" t="inlineStr">
        <is>
          <t>难度系数</t>
        </is>
      </c>
      <c r="E144" s="25" t="inlineStr">
        <is>
          <t>任务金额</t>
        </is>
      </c>
      <c r="F144" s="25" t="inlineStr">
        <is>
          <t>计算依据</t>
        </is>
      </c>
      <c r="G144" s="25" t="inlineStr">
        <is>
          <t>结算说明</t>
        </is>
      </c>
      <c r="H144" s="25" t="inlineStr">
        <is>
          <t>备注</t>
        </is>
      </c>
    </row>
    <row r="145" ht="105" customHeight="1" s="1">
      <c r="A145" s="26" t="inlineStr">
        <is>
          <t>广告执行调整</t>
        </is>
      </c>
      <c r="B145" s="26" t="inlineStr">
        <is>
          <t>同一周对Campaign A调整Bid 1次</t>
        </is>
      </c>
      <c r="C145" s="95" t="n">
        <v>10</v>
      </c>
      <c r="D145" s="27" t="n">
        <v>1</v>
      </c>
      <c r="E145" s="95" t="n">
        <v>10</v>
      </c>
      <c r="F145" s="26" t="inlineStr">
        <is>
          <t>1个Campaign×1次＝10元</t>
        </is>
      </c>
      <c r="G145" s="26" t="inlineStr">
        <is>
          <t>关联Ads Change，记录原因并核验</t>
        </is>
      </c>
      <c r="H145" s="26" t="inlineStr">
        <is>
          <t>周内还可再计1次</t>
        </is>
      </c>
    </row>
    <row r="146" ht="105" customHeight="1" s="1">
      <c r="A146" s="26" t="inlineStr">
        <is>
          <t>广告执行调整</t>
        </is>
      </c>
      <c r="B146" s="26" t="inlineStr">
        <is>
          <t>同一周对Campaign A先调否定词，复查后再调Bid（2次）</t>
        </is>
      </c>
      <c r="C146" s="95" t="n">
        <v>20</v>
      </c>
      <c r="D146" s="27" t="n">
        <v>1</v>
      </c>
      <c r="E146" s="95" t="n">
        <v>20</v>
      </c>
      <c r="F146" s="26" t="inlineStr">
        <is>
          <t>1个Campaign×2次＝20元</t>
        </is>
      </c>
      <c r="G146" s="26" t="inlineStr">
        <is>
          <t>第2次须有复查依据或新问题依据</t>
        </is>
      </c>
      <c r="H146" s="26" t="inlineStr">
        <is>
          <t>已达周上限，本周不再计费</t>
        </is>
      </c>
    </row>
    <row r="147" ht="105" customHeight="1" s="1">
      <c r="A147" s="26" t="inlineStr">
        <is>
          <t>广告执行调整</t>
        </is>
      </c>
      <c r="B147" s="26" t="inlineStr">
        <is>
          <t>同一次调整同时改否定词＋Bid＋商品投放</t>
        </is>
      </c>
      <c r="C147" s="95" t="n">
        <v>10</v>
      </c>
      <c r="D147" s="27" t="n">
        <v>1</v>
      </c>
      <c r="E147" s="95" t="n">
        <v>10</v>
      </c>
      <c r="F147" s="26" t="inlineStr">
        <is>
          <t>同一次多种动作合计1次＝10元</t>
        </is>
      </c>
      <c r="G147" s="26" t="inlineStr">
        <is>
          <t>不按调整类型拆分</t>
        </is>
      </c>
      <c r="H147" s="26" t="inlineStr">
        <is>
          <t>可关联多条Ads Change记录</t>
        </is>
      </c>
    </row>
    <row r="148" ht="105" customHeight="1" s="1">
      <c r="A148" s="26" t="inlineStr">
        <is>
          <t>广告执行调整</t>
        </is>
      </c>
      <c r="B148" s="26" t="inlineStr">
        <is>
          <t>同一周：A调整2次、B调整1次、C调整3次</t>
        </is>
      </c>
      <c r="C148" s="95" t="n">
        <v>50</v>
      </c>
      <c r="D148" s="27" t="n">
        <v>1</v>
      </c>
      <c r="E148" s="95" t="n">
        <v>50</v>
      </c>
      <c r="F148" s="26" t="inlineStr">
        <is>
          <t>A＝20元、B＝10元、C＝20元；合计50元</t>
        </is>
      </c>
      <c r="G148" s="26" t="inlineStr">
        <is>
          <t>C的第3次超出周上限不计费</t>
        </is>
      </c>
      <c r="H148" s="26" t="inlineStr">
        <is>
          <t>不同Campaign分别计费，各自2次上限</t>
        </is>
      </c>
    </row>
    <row r="149">
      <c r="A149" s="26" t="inlineStr">
        <is>
          <t>广告执行调整</t>
        </is>
      </c>
      <c r="B149" s="26" t="inlineStr">
        <is>
          <t>拆分同一次调整为多条提交</t>
        </is>
      </c>
      <c r="C149" s="95" t="n">
        <v>10</v>
      </c>
      <c r="D149" s="27" t="n">
        <v>1</v>
      </c>
      <c r="E149" s="95" t="n">
        <v>10</v>
      </c>
      <c r="F149" s="26" t="inlineStr">
        <is>
          <t>拆分操作不另算</t>
        </is>
      </c>
      <c r="G149" s="26" t="inlineStr">
        <is>
          <t>按实际有效调整次数计，不按提交次数</t>
        </is>
      </c>
      <c r="H149" s="26" t="inlineStr">
        <is>
          <t>修复本人错误也不另算</t>
        </is>
      </c>
    </row>
    <row r="151" ht="30" customHeight="1" s="1">
      <c r="A151" s="24" t="inlineStr">
        <is>
          <t>主动执行倍率计费示例</t>
        </is>
      </c>
    </row>
    <row r="152" ht="34" customHeight="1" s="1">
      <c r="A152" s="25" t="inlineStr">
        <is>
          <t>工作项目</t>
        </is>
      </c>
      <c r="B152" s="25" t="inlineStr">
        <is>
          <t>实际场景</t>
        </is>
      </c>
      <c r="C152" s="25" t="inlineStr">
        <is>
          <t>正常金额</t>
        </is>
      </c>
      <c r="D152" s="25" t="inlineStr">
        <is>
          <t>主动倍率</t>
        </is>
      </c>
      <c r="E152" s="25" t="inlineStr">
        <is>
          <t>主动金额</t>
        </is>
      </c>
      <c r="F152" s="25" t="inlineStr">
        <is>
          <t>计算依据</t>
        </is>
      </c>
      <c r="G152" s="25" t="inlineStr">
        <is>
          <t>认定说明</t>
        </is>
      </c>
      <c r="H152" s="25" t="inlineStr">
        <is>
          <t>备注</t>
        </is>
      </c>
    </row>
    <row r="153" ht="130" customHeight="1" s="1">
      <c r="A153" s="28" t="inlineStr">
        <is>
          <t>标题编写与优化</t>
        </is>
      </c>
      <c r="B153" s="28" t="inlineStr">
        <is>
          <t>主动分析搜索词数据，发现标题缺少核心关键词，重写并完成复盘</t>
        </is>
      </c>
      <c r="C153" s="95" t="n">
        <v>10</v>
      </c>
      <c r="D153" s="96" t="n">
        <v>2</v>
      </c>
      <c r="E153" s="95">
        <f>ROUND(C153*D153,2)</f>
        <v/>
      </c>
      <c r="F153" s="28" t="inlineStr">
        <is>
          <t>10元×2＝20元</t>
        </is>
      </c>
      <c r="G153" s="28" t="inlineStr">
        <is>
          <t>符合Listing内容优化认定：有数据分析、有方案、实际重写、完成复盘</t>
        </is>
      </c>
      <c r="H153" s="28" t="n"/>
    </row>
    <row r="154" ht="130" customHeight="1" s="1">
      <c r="A154" s="28" t="inlineStr">
        <is>
          <t>SP广告创建</t>
        </is>
      </c>
      <c r="B154" s="28" t="inlineStr">
        <is>
          <t>主动发现产品缺少某品类投放，提出测试目标，创建1个SP Campaign</t>
        </is>
      </c>
      <c r="C154" s="95" t="n">
        <v>15</v>
      </c>
      <c r="D154" s="96" t="n">
        <v>2</v>
      </c>
      <c r="E154" s="95">
        <f>ROUND(C154*D154,2)</f>
        <v/>
      </c>
      <c r="F154" s="28" t="inlineStr">
        <is>
          <t>15元×2＝30元</t>
        </is>
      </c>
      <c r="G154" s="28" t="inlineStr">
        <is>
          <t>符合广告新建认定：有投放机会分析、投放方向、测试目标</t>
        </is>
      </c>
      <c r="H154" s="28" t="inlineStr">
        <is>
          <t>仅复制、没有独立投放分析和测试目标，不适用×2；复用结构本身不影响认定。完成创建及复盘后结算。</t>
        </is>
      </c>
    </row>
    <row r="155" ht="130" customHeight="1" s="1">
      <c r="A155" s="28" t="inlineStr">
        <is>
          <t>Buy Box异常处理</t>
        </is>
      </c>
      <c r="B155" s="28" t="inlineStr">
        <is>
          <t>同站点1个ASIN：主动发现Buy Box丢失，及时截图取证并开Case处理</t>
        </is>
      </c>
      <c r="C155" s="95" t="n">
        <v>15</v>
      </c>
      <c r="D155" s="96" t="n">
        <v>1.5</v>
      </c>
      <c r="E155" s="95">
        <f>ROUND(C155*D155,2)</f>
        <v/>
      </c>
      <c r="F155" s="28" t="inlineStr">
        <is>
          <t>15元×1.5＝22.50元</t>
        </is>
      </c>
      <c r="G155" s="28" t="inlineStr">
        <is>
          <t>符合异常处理认定：主动发现、及时记录、推动处理</t>
        </is>
      </c>
      <c r="H155" s="28" t="n"/>
    </row>
    <row r="156" ht="130" customHeight="1" s="1">
      <c r="A156" s="28" t="inlineStr">
        <is>
          <t>价格调整</t>
        </is>
      </c>
      <c r="B156" s="28" t="inlineStr">
        <is>
          <t>主动发现竞品降价导致转化下降，提出调价方案并执行</t>
        </is>
      </c>
      <c r="C156" s="95" t="n">
        <v>15</v>
      </c>
      <c r="D156" s="96" t="n">
        <v>1.5</v>
      </c>
      <c r="E156" s="95">
        <f>ROUND(C156*D156,2)</f>
        <v/>
      </c>
      <c r="F156" s="28" t="inlineStr">
        <is>
          <t>15元×1.5＝22.50元</t>
        </is>
      </c>
      <c r="G156" s="28" t="inlineStr">
        <is>
          <t>符合其他执行类认定：发现问题、有合理措施、完成处理</t>
        </is>
      </c>
      <c r="H156" s="28" t="inlineStr">
        <is>
          <t>例行巡检调价不享受倍率</t>
        </is>
      </c>
    </row>
    <row r="157" ht="130" customHeight="1" s="1">
      <c r="A157" s="28" t="inlineStr">
        <is>
          <t>广告执行调整</t>
        </is>
      </c>
      <c r="B157" s="28" t="inlineStr">
        <is>
          <t>主动分析广告报表，调整Campaign A的否定词和Bid</t>
        </is>
      </c>
      <c r="C157" s="95" t="n">
        <v>10</v>
      </c>
      <c r="D157" s="96" t="n">
        <v>1</v>
      </c>
      <c r="E157" s="95">
        <f>ROUND(C157*D157,2)</f>
        <v/>
      </c>
      <c r="F157" s="28" t="inlineStr">
        <is>
          <t>10元×1＝10元</t>
        </is>
      </c>
      <c r="G157" s="28" t="inlineStr">
        <is>
          <t>广告调整主动倍率固定×1</t>
        </is>
      </c>
      <c r="H157" s="28" t="inlineStr">
        <is>
          <t>有依据并核验；周内可再计1次</t>
        </is>
      </c>
    </row>
    <row r="158" ht="130" customHeight="1" s="1">
      <c r="A158" s="28" t="inlineStr">
        <is>
          <t>标题编写与优化</t>
        </is>
      </c>
      <c r="B158" s="28" t="inlineStr">
        <is>
          <t>上传翻译好的标题（非自主分析优化）</t>
        </is>
      </c>
      <c r="C158" s="95" t="n">
        <v>10</v>
      </c>
      <c r="D158" s="96" t="n">
        <v>1</v>
      </c>
      <c r="E158" s="95">
        <f>ROUND(C158*D158,2)</f>
        <v/>
      </c>
      <c r="F158" s="28" t="inlineStr">
        <is>
          <t>不满足×2认定条件</t>
        </is>
      </c>
      <c r="G158" s="28" t="inlineStr">
        <is>
          <t>单纯翻译上传不属于内容优化档，按正常金额</t>
        </is>
      </c>
      <c r="H158" s="28" t="n"/>
    </row>
    <row r="160" ht="30" customHeight="1" s="1">
      <c r="A160" s="30" t="inlineStr">
        <is>
          <t>跨站点执行计费示例</t>
        </is>
      </c>
    </row>
    <row r="161" ht="34" customHeight="1" s="1">
      <c r="A161" s="25" t="inlineStr">
        <is>
          <t>工作项目</t>
        </is>
      </c>
      <c r="B161" s="25" t="inlineStr">
        <is>
          <t>实际场景</t>
        </is>
      </c>
      <c r="C161" s="25" t="inlineStr">
        <is>
          <t>累计基础金额</t>
        </is>
      </c>
      <c r="D161" s="25" t="inlineStr">
        <is>
          <t>难度系数</t>
        </is>
      </c>
      <c r="E161" s="25" t="inlineStr">
        <is>
          <t>任务金额</t>
        </is>
      </c>
      <c r="F161" s="25" t="inlineStr">
        <is>
          <t>计算依据</t>
        </is>
      </c>
      <c r="G161" s="25" t="inlineStr">
        <is>
          <t>结算说明</t>
        </is>
      </c>
      <c r="H161" s="25" t="inlineStr">
        <is>
          <t>备注</t>
        </is>
      </c>
    </row>
    <row r="162" ht="105" customHeight="1" s="1">
      <c r="A162" s="28" t="inlineStr">
        <is>
          <t>跨站点Listing创建</t>
        </is>
      </c>
      <c r="B162" s="28" t="inlineStr">
        <is>
          <t>美国站3个SKU已上架，现需在CA站上架同3个SKU</t>
        </is>
      </c>
      <c r="C162" s="95" t="n">
        <v>40</v>
      </c>
      <c r="D162" s="29" t="n">
        <v>1</v>
      </c>
      <c r="E162" s="95" t="n">
        <v>40</v>
      </c>
      <c r="F162" s="28" t="inlineStr">
        <is>
          <t>CA站独立分组，3个SKU可共用上架表＝40元</t>
        </is>
      </c>
      <c r="G162" s="28" t="inlineStr">
        <is>
          <t>与US站分别计费</t>
        </is>
      </c>
      <c r="H162" s="28" t="inlineStr">
        <is>
          <t>按目标站点独立上架执行组</t>
        </is>
      </c>
    </row>
    <row r="163" ht="105" customHeight="1" s="1">
      <c r="A163" s="28" t="inlineStr">
        <is>
          <t>跨站点Listing创建</t>
        </is>
      </c>
      <c r="B163" s="28" t="inlineStr">
        <is>
          <t>MX和BR各上架1个SKU</t>
        </is>
      </c>
      <c r="C163" s="95" t="n">
        <v>50</v>
      </c>
      <c r="D163" s="29" t="n">
        <v>1</v>
      </c>
      <c r="E163" s="95" t="n">
        <v>50</v>
      </c>
      <c r="F163" s="28" t="inlineStr">
        <is>
          <t>MX站1个SKU＝25元 ＋ BR站1个SKU＝25元</t>
        </is>
      </c>
      <c r="G163" s="28" t="inlineStr">
        <is>
          <t>不同站点分别计费</t>
        </is>
      </c>
      <c r="H163" s="28" t="inlineStr">
        <is>
          <t>各站点不共用上架表</t>
        </is>
      </c>
    </row>
    <row r="164" ht="105" customHeight="1" s="1">
      <c r="A164" s="28" t="inlineStr">
        <is>
          <t>A+翻译后发布</t>
        </is>
      </c>
      <c r="B164" s="28" t="inlineStr">
        <is>
          <t>将US站A+翻译后发布到CA和MX</t>
        </is>
      </c>
      <c r="C164" s="95" t="n">
        <v>10</v>
      </c>
      <c r="D164" s="29" t="n">
        <v>1</v>
      </c>
      <c r="E164" s="95" t="n">
        <v>10</v>
      </c>
      <c r="F164" s="28" t="inlineStr">
        <is>
          <t>同一份内容同一批＝10元</t>
        </is>
      </c>
      <c r="G164" s="28" t="inlineStr">
        <is>
          <t>不按站点数量累加</t>
        </is>
      </c>
      <c r="H164" s="28" t="inlineStr">
        <is>
          <t>非新策划，仅翻译发布</t>
        </is>
      </c>
    </row>
    <row r="165" ht="105" customHeight="1" s="1">
      <c r="A165" s="28" t="inlineStr">
        <is>
          <t>A+翻译后发布</t>
        </is>
      </c>
      <c r="B165" s="28" t="inlineStr">
        <is>
          <t>将US站2份不同A+分别翻译后发布到CA</t>
        </is>
      </c>
      <c r="C165" s="95" t="n">
        <v>20</v>
      </c>
      <c r="D165" s="29" t="n">
        <v>1</v>
      </c>
      <c r="E165" s="95" t="n">
        <v>20</v>
      </c>
      <c r="F165" s="28" t="inlineStr">
        <is>
          <t>2份不同内容各10元＝20元</t>
        </is>
      </c>
      <c r="G165" s="28" t="inlineStr">
        <is>
          <t>不同内容按份数计</t>
        </is>
      </c>
      <c r="H165" s="28" t="inlineStr">
        <is>
          <t>每份A+独立计费</t>
        </is>
      </c>
    </row>
    <row r="166">
      <c r="A166" s="28" t="inlineStr">
        <is>
          <t>翻译后批量更新</t>
        </is>
      </c>
      <c r="B166" s="28" t="inlineStr">
        <is>
          <t>已有中文文案，翻译后批量更新10个SKU的标题和五点</t>
        </is>
      </c>
      <c r="C166" s="95" t="n">
        <v>10</v>
      </c>
      <c r="D166" s="29" t="n">
        <v>1</v>
      </c>
      <c r="E166" s="95" t="n">
        <v>10</v>
      </c>
      <c r="F166" s="28" t="inlineStr">
        <is>
          <t>同一批翻译更新＝10元</t>
        </is>
      </c>
      <c r="G166" s="28" t="inlineStr">
        <is>
          <t>不按SKU数量增加</t>
        </is>
      </c>
      <c r="H166" s="28" t="inlineStr">
        <is>
          <t>与独立重写区分：翻译更新按批，独立重写按项</t>
        </is>
      </c>
    </row>
    <row r="168" ht="30" customHeight="1" s="1">
      <c r="A168" s="0" t="inlineStr">
        <is>
          <t>滞留库存处理：按处理方式选择基础金额</t>
        </is>
      </c>
    </row>
    <row r="169" ht="34" customHeight="1" s="1">
      <c r="A169" s="0" t="inlineStr">
        <is>
          <t>工作项目</t>
        </is>
      </c>
      <c r="B169" s="0" t="inlineStr">
        <is>
          <t>实际场景</t>
        </is>
      </c>
      <c r="C169" s="0" t="inlineStr">
        <is>
          <t>累计基础金额</t>
        </is>
      </c>
      <c r="D169" s="0" t="inlineStr">
        <is>
          <t>难度系数</t>
        </is>
      </c>
      <c r="E169" s="0" t="inlineStr">
        <is>
          <t>任务金额</t>
        </is>
      </c>
      <c r="F169" s="0" t="inlineStr">
        <is>
          <t>计算依据</t>
        </is>
      </c>
      <c r="G169" s="0" t="inlineStr">
        <is>
          <t>结算说明</t>
        </is>
      </c>
      <c r="H169" s="0" t="inlineStr">
        <is>
          <t>备注</t>
        </is>
      </c>
    </row>
    <row r="170" ht="105" customHeight="1" s="1">
      <c r="A170" s="0" t="inlineStr">
        <is>
          <t>滞留库存处理</t>
        </is>
      </c>
      <c r="B170" s="0" t="inlineStr">
        <is>
          <t>同次安排同批移除10个SKU</t>
        </is>
      </c>
      <c r="C170" s="114" t="n">
        <v>10</v>
      </c>
      <c r="D170" s="0" t="n">
        <v>1</v>
      </c>
      <c r="E170" s="114">
        <f>ROUND(C170*D170,2)</f>
        <v/>
      </c>
      <c r="F170" s="0" t="inlineStr">
        <is>
          <t>移除订单成功创建并核对</t>
        </is>
      </c>
      <c r="G170" s="0" t="inlineStr">
        <is>
          <t>不按SKU数量增加金额</t>
        </is>
      </c>
      <c r="H170" s="0" t="inlineStr">
        <is>
          <t>示例为负责人安排；自主发起按正常金额×主动倍率计算</t>
        </is>
      </c>
    </row>
    <row r="171" ht="105" customHeight="1" s="1">
      <c r="A171" s="0" t="inlineStr">
        <is>
          <t>滞留库存处理</t>
        </is>
      </c>
      <c r="B171" s="0" t="inlineStr">
        <is>
          <t>同批完成多个SKU的Relist</t>
        </is>
      </c>
      <c r="C171" s="114" t="n">
        <v>10</v>
      </c>
      <c r="D171" s="0" t="n">
        <v>1</v>
      </c>
      <c r="E171" s="114">
        <f>ROUND(C171*D171,2)</f>
        <v/>
      </c>
      <c r="F171" s="0" t="inlineStr">
        <is>
          <t>重新发布并核验相关状态</t>
        </is>
      </c>
      <c r="G171" s="0" t="inlineStr">
        <is>
          <t>同一处理方式合并一批</t>
        </is>
      </c>
      <c r="H171" s="0" t="inlineStr">
        <is>
          <t>示例为负责人安排；自主发起按正常金额×主动倍率计算</t>
        </is>
      </c>
    </row>
    <row r="172" ht="105" customHeight="1" s="1">
      <c r="A172" s="0" t="inlineStr">
        <is>
          <t>滞留库存处理</t>
        </is>
      </c>
      <c r="B172" s="0" t="inlineStr">
        <is>
          <t>同一问题先Relist，再申诉并完成处理</t>
        </is>
      </c>
      <c r="C172" s="114" t="n">
        <v>15</v>
      </c>
      <c r="D172" s="0" t="n">
        <v>1</v>
      </c>
      <c r="E172" s="114">
        <f>ROUND(C172*D172,2)</f>
        <v/>
      </c>
      <c r="F172" s="0" t="inlineStr">
        <is>
          <t>按适用最高档15元</t>
        </is>
      </c>
      <c r="G172" s="0" t="inlineStr">
        <is>
          <t>不按25元累计</t>
        </is>
      </c>
      <c r="H172" s="0" t="inlineStr">
        <is>
          <t>示例为负责人安排；自主发起按正常金额×主动倍率计算</t>
        </is>
      </c>
    </row>
    <row r="173" ht="105" customHeight="1" s="1">
      <c r="A173" s="0" t="inlineStr">
        <is>
          <t>滞留库存处理</t>
        </is>
      </c>
      <c r="B173" s="0" t="inlineStr">
        <is>
          <t>已有完整电池豁免或化学品资料，核对后提交</t>
        </is>
      </c>
      <c r="C173" s="114" t="n">
        <v>10</v>
      </c>
      <c r="D173" s="0" t="n">
        <v>1</v>
      </c>
      <c r="E173" s="114">
        <f>ROUND(C173*D173,2)</f>
        <v/>
      </c>
      <c r="F173" s="0" t="inlineStr">
        <is>
          <t>直接资料提交档</t>
        </is>
      </c>
      <c r="G173" s="0" t="inlineStr">
        <is>
          <t>保留文件版本、对应SKU及提交记录</t>
        </is>
      </c>
      <c r="H173" s="0" t="inlineStr">
        <is>
          <t>示例为负责人安排；自主发起按正常金额×主动倍率计算</t>
        </is>
      </c>
    </row>
    <row r="174" ht="105" customHeight="1" s="1">
      <c r="A174" s="0" t="inlineStr">
        <is>
          <t>滞留库存处理</t>
        </is>
      </c>
      <c r="B174" s="0" t="inlineStr">
        <is>
          <t>需向负责人获取并核对资料，再提交跟进</t>
        </is>
      </c>
      <c r="C174" s="114" t="n">
        <v>10</v>
      </c>
      <c r="D174" s="0" t="n">
        <v>1</v>
      </c>
      <c r="E174" s="114">
        <f>ROUND(C174*D174,2)</f>
        <v/>
      </c>
      <c r="F174" s="0" t="inlineStr">
        <is>
          <t>协调获取资料：10元</t>
        </is>
      </c>
      <c r="G174" s="0" t="inlineStr">
        <is>
          <t>等待时间、催办次数不增加金额</t>
        </is>
      </c>
      <c r="H174" s="0" t="inlineStr">
        <is>
          <t>示例为负责人安排；自主发起按正常金额×主动倍率计算</t>
        </is>
      </c>
    </row>
    <row r="175" ht="105" customHeight="1" s="1">
      <c r="A175" s="0" t="inlineStr">
        <is>
          <t>滞留库存处理</t>
        </is>
      </c>
      <c r="B175" s="0" t="inlineStr">
        <is>
          <t>申诉未解决，凭证完整且负责人确认阶段结案</t>
        </is>
      </c>
      <c r="C175" s="114" t="n">
        <v>15</v>
      </c>
      <c r="D175" s="0" t="n">
        <v>1</v>
      </c>
      <c r="E175" s="114">
        <f>ROUND(C175*D175,2)</f>
        <v/>
      </c>
      <c r="F175" s="0" t="inlineStr">
        <is>
          <t>按申诉任务阶段验收</t>
        </is>
      </c>
      <c r="G175" s="0" t="inlineStr">
        <is>
          <t>保留未解决状态及后续安排，不标成已解决</t>
        </is>
      </c>
      <c r="H175" s="0" t="inlineStr">
        <is>
          <t>示例为负责人安排；自主发起按正常金额×主动倍率计算</t>
        </is>
      </c>
    </row>
    <row r="178" ht="30" customHeight="1" s="1">
      <c r="A178" s="0" t="inlineStr">
        <is>
          <t>Listing异常申诉与Case处理：每个ASIN 20元</t>
        </is>
      </c>
    </row>
    <row r="179" ht="34" customHeight="1" s="1">
      <c r="A179" s="0" t="inlineStr">
        <is>
          <t>工作项目</t>
        </is>
      </c>
      <c r="B179" s="0" t="inlineStr">
        <is>
          <t>实际场景</t>
        </is>
      </c>
      <c r="C179" s="0" t="inlineStr">
        <is>
          <t>累计基础金额</t>
        </is>
      </c>
      <c r="D179" s="0" t="inlineStr">
        <is>
          <t>难度系数</t>
        </is>
      </c>
      <c r="E179" s="0" t="inlineStr">
        <is>
          <t>任务金额</t>
        </is>
      </c>
      <c r="F179" s="0" t="inlineStr">
        <is>
          <t>计算依据</t>
        </is>
      </c>
      <c r="G179" s="0" t="inlineStr">
        <is>
          <t>结算说明</t>
        </is>
      </c>
      <c r="H179" s="0" t="inlineStr">
        <is>
          <t>备注</t>
        </is>
      </c>
    </row>
    <row r="180" ht="105" customHeight="1" s="1">
      <c r="A180" s="0" t="inlineStr">
        <is>
          <t>Listing异常申诉与Case处理</t>
        </is>
      </c>
      <c r="B180" s="0" t="inlineStr">
        <is>
          <t>1个ASIN同一异常，多次Appeal或Case后完成处理</t>
        </is>
      </c>
      <c r="C180" s="114" t="n">
        <v>20</v>
      </c>
      <c r="D180" s="0" t="n">
        <v>1</v>
      </c>
      <c r="E180" s="114" t="n">
        <v>20</v>
      </c>
      <c r="F180" s="0" t="inlineStr">
        <is>
          <t>1×20元</t>
        </is>
      </c>
      <c r="G180" s="0" t="inlineStr">
        <is>
          <t>不按Case数量增加金额</t>
        </is>
      </c>
      <c r="H180" s="0" t="inlineStr">
        <is>
          <t>负责人安排的任务示例；自主发起按正常金额×主动倍率计算</t>
        </is>
      </c>
    </row>
    <row r="181" ht="105" customHeight="1" s="1">
      <c r="A181" s="0" t="inlineStr">
        <is>
          <t>Listing异常申诉与Case处理</t>
        </is>
      </c>
      <c r="B181" s="0" t="inlineStr">
        <is>
          <t>5个ASIN共用一个Case，逐个完成处理及核验</t>
        </is>
      </c>
      <c r="C181" s="114" t="n">
        <v>100</v>
      </c>
      <c r="D181" s="0" t="n">
        <v>1</v>
      </c>
      <c r="E181" s="114" t="n">
        <v>100</v>
      </c>
      <c r="F181" s="0" t="inlineStr">
        <is>
          <t>5×20元</t>
        </is>
      </c>
      <c r="G181" s="0" t="inlineStr">
        <is>
          <t>保留每个ASIN的处理结果</t>
        </is>
      </c>
      <c r="H181" s="0" t="inlineStr">
        <is>
          <t>负责人安排的任务示例；自主发起按正常金额×主动倍率计算</t>
        </is>
      </c>
    </row>
    <row r="182" ht="105" customHeight="1" s="1">
      <c r="A182" s="0" t="inlineStr">
        <is>
          <t>Listing异常申诉与Case处理</t>
        </is>
      </c>
      <c r="B182" s="0" t="inlineStr">
        <is>
          <t>1个ASIN未恢复，记录完整且负责人确认阶段结案</t>
        </is>
      </c>
      <c r="C182" s="114" t="n">
        <v>20</v>
      </c>
      <c r="D182" s="0" t="n">
        <v>1</v>
      </c>
      <c r="E182" s="114" t="n">
        <v>20</v>
      </c>
      <c r="F182" s="0" t="inlineStr">
        <is>
          <t>按该ASIN阶段验收</t>
        </is>
      </c>
      <c r="G182" s="0" t="inlineStr">
        <is>
          <t>保留未恢复状态，之后恢复不重复计费</t>
        </is>
      </c>
      <c r="H182" s="0" t="inlineStr">
        <is>
          <t>负责人安排的任务示例；自主发起按正常金额×主动倍率计算</t>
        </is>
      </c>
    </row>
    <row r="183" ht="105" customHeight="1" s="1">
      <c r="A183" s="0" t="inlineStr">
        <is>
          <t>Listing异常申诉与Case处理</t>
        </is>
      </c>
      <c r="B183" s="0" t="inlineStr">
        <is>
          <t>同一异常已按滞留库存、Buy Box或变体关系维护计费</t>
        </is>
      </c>
      <c r="C183" s="114" t="n">
        <v>0</v>
      </c>
      <c r="D183" s="0" t="n">
        <v>1</v>
      </c>
      <c r="E183" s="114" t="n">
        <v>0</v>
      </c>
      <c r="F183" s="0" t="inlineStr">
        <is>
          <t>本项不再计费</t>
        </is>
      </c>
      <c r="G183" s="0" t="inlineStr">
        <is>
          <t>只选择一个主任务项目</t>
        </is>
      </c>
      <c r="H183" s="0" t="inlineStr">
        <is>
          <t>负责人安排的任务示例；自主发起按正常金额×主动倍率计算</t>
        </is>
      </c>
    </row>
    <row r="186" ht="30" customHeight="1" s="1">
      <c r="A186" s="0" t="inlineStr">
        <is>
          <t>Brand Store按二级类目计费：商品10元、模块25元；范围外原有提交报错15元/提交任务</t>
        </is>
      </c>
    </row>
    <row r="187" ht="34" customHeight="1" s="1">
      <c r="A187" s="0" t="inlineStr">
        <is>
          <t>工作项目</t>
        </is>
      </c>
      <c r="B187" s="0" t="inlineStr">
        <is>
          <t>实际场景</t>
        </is>
      </c>
      <c r="C187" s="0" t="inlineStr">
        <is>
          <t>累计基础金额</t>
        </is>
      </c>
      <c r="D187" s="0" t="inlineStr">
        <is>
          <t>难度系数</t>
        </is>
      </c>
      <c r="E187" s="0" t="inlineStr">
        <is>
          <t>任务金额</t>
        </is>
      </c>
      <c r="F187" s="0" t="inlineStr">
        <is>
          <t>计算依据</t>
        </is>
      </c>
      <c r="G187" s="0" t="inlineStr">
        <is>
          <t>结算说明</t>
        </is>
      </c>
      <c r="H187" s="0" t="inlineStr">
        <is>
          <t>备注</t>
        </is>
      </c>
    </row>
    <row r="188" ht="120" customHeight="1" s="1">
      <c r="A188" s="0" t="inlineStr">
        <is>
          <t>Brand Store 二级类目商品维护</t>
        </is>
      </c>
      <c r="B188" s="0" t="inlineStr">
        <is>
          <t>1/2英寸尺寸类目原有模块中加入10个新品</t>
        </is>
      </c>
      <c r="C188" s="114" t="n">
        <v>10</v>
      </c>
      <c r="D188" s="0" t="n">
        <v>1</v>
      </c>
      <c r="E188" s="114">
        <f>ROUND(C188*D188,2)</f>
        <v/>
      </c>
      <c r="F188" s="0" t="inlineStr">
        <is>
          <t>1个二级类目×10元</t>
        </is>
      </c>
      <c r="G188" s="0" t="inlineStr">
        <is>
          <t>不按SKU数量增加</t>
        </is>
      </c>
      <c r="H188" s="0" t="inlineStr">
        <is>
          <t>负责人安排的任务示例；自主发起按正常金额×主动倍率计算</t>
        </is>
      </c>
    </row>
    <row r="189" ht="120" customHeight="1" s="1">
      <c r="A189" s="0" t="inlineStr">
        <is>
          <t>Brand Store 二级类目商品维护</t>
        </is>
      </c>
      <c r="B189" s="0" t="inlineStr">
        <is>
          <t>1/2英寸与3/4英寸两个类目分别增删商品</t>
        </is>
      </c>
      <c r="C189" s="114" t="n">
        <v>20</v>
      </c>
      <c r="D189" s="0" t="n">
        <v>1</v>
      </c>
      <c r="E189" s="114">
        <f>ROUND(C189*D189,2)</f>
        <v/>
      </c>
      <c r="F189" s="0" t="inlineStr">
        <is>
          <t>2个二级类目×10元</t>
        </is>
      </c>
      <c r="G189" s="0" t="inlineStr">
        <is>
          <t>记录两条实际类目路径</t>
        </is>
      </c>
      <c r="H189" s="0" t="inlineStr">
        <is>
          <t>负责人安排的任务示例；自主发起按正常金额×主动倍率计算</t>
        </is>
      </c>
    </row>
    <row r="190" ht="120" customHeight="1" s="1">
      <c r="A190" s="0" t="inlineStr">
        <is>
          <t>Brand Store 二级类目模块新增或重建</t>
        </is>
      </c>
      <c r="B190" s="0" t="inlineStr">
        <is>
          <t>1/2英寸类目重建模块并配置商品</t>
        </is>
      </c>
      <c r="C190" s="114" t="n">
        <v>25</v>
      </c>
      <c r="D190" s="0" t="n">
        <v>1</v>
      </c>
      <c r="E190" s="114">
        <f>ROUND(C190*D190,2)</f>
        <v/>
      </c>
      <c r="F190" s="0" t="inlineStr">
        <is>
          <t>1个二级类目×25元</t>
        </is>
      </c>
      <c r="G190" s="0" t="inlineStr">
        <is>
          <t>不再叠加商品维护10元</t>
        </is>
      </c>
      <c r="H190" s="0" t="inlineStr">
        <is>
          <t>负责人安排的任务示例；自主发起按正常金额×主动倍率计算</t>
        </is>
      </c>
    </row>
    <row r="191" ht="120" customHeight="1" s="1">
      <c r="A191" s="0" t="inlineStr">
        <is>
          <t>Brand Store 二级类目模块新增或重建</t>
        </is>
      </c>
      <c r="B191" s="0" t="inlineStr">
        <is>
          <t>两个尺寸类目分别重建模块并配置商品</t>
        </is>
      </c>
      <c r="C191" s="114" t="n">
        <v>50</v>
      </c>
      <c r="D191" s="0" t="n">
        <v>1</v>
      </c>
      <c r="E191" s="114">
        <f>ROUND(C191*D191,2)</f>
        <v/>
      </c>
      <c r="F191" s="0" t="inlineStr">
        <is>
          <t>2个二级类目×25元</t>
        </is>
      </c>
      <c r="G191" s="0" t="inlineStr">
        <is>
          <t>同类目不按模块数量增加</t>
        </is>
      </c>
      <c r="H191" s="0" t="inlineStr">
        <is>
          <t>负责人安排的任务示例；自主发起按正常金额×主动倍率计算</t>
        </is>
      </c>
    </row>
    <row r="192" ht="120" customHeight="1" s="1">
      <c r="A192" s="0" t="inlineStr">
        <is>
          <t>Brand Store 商品维护＋提交阻断处理</t>
        </is>
      </c>
      <c r="B192" s="0" t="inlineStr">
        <is>
          <t>两个尺寸类目更新，另修复其他板块历史报错后提交</t>
        </is>
      </c>
      <c r="C192" s="114" t="n">
        <v>35</v>
      </c>
      <c r="D192" s="0" t="n">
        <v>1</v>
      </c>
      <c r="E192" s="114">
        <f>ROUND(C192*D192,2)</f>
        <v/>
      </c>
      <c r="F192" s="0" t="inlineStr">
        <is>
          <t>35元</t>
        </is>
      </c>
      <c r="G192" s="0" t="inlineStr">
        <is>
          <t>同次提交多个报错只计一次15元</t>
        </is>
      </c>
      <c r="H192" s="0" t="inlineStr">
        <is>
          <t>负责人安排的任务示例；自主发起按正常金额×主动倍率计算</t>
        </is>
      </c>
    </row>
    <row r="193" ht="120" customHeight="1" s="1">
      <c r="A193" s="0" t="inlineStr">
        <is>
          <t>Brand Store 二级类目商品维护</t>
        </is>
      </c>
      <c r="B193" s="0" t="inlineStr">
        <is>
          <t>两个尺寸类目更新，修复本人本次造成的报错</t>
        </is>
      </c>
      <c r="C193" s="114" t="n">
        <v>20</v>
      </c>
      <c r="D193" s="0" t="n">
        <v>1</v>
      </c>
      <c r="E193" s="114">
        <f>ROUND(C193*D193,2)</f>
        <v/>
      </c>
      <c r="F193" s="0" t="inlineStr">
        <is>
          <t>20元</t>
        </is>
      </c>
      <c r="G193" s="0" t="inlineStr">
        <is>
          <t>自身返工不增加阻断处理金额</t>
        </is>
      </c>
      <c r="H193" s="0" t="inlineStr">
        <is>
          <t>负责人安排的任务示例；自主发起按正常金额×主动倍率计算</t>
        </is>
      </c>
    </row>
    <row r="196" ht="13.85000038146973" customHeight="1" s="1">
      <c r="A196" s="24" t="inlineStr">
        <is>
          <t>新品开发与内容准备计费示例</t>
        </is>
      </c>
    </row>
    <row r="197">
      <c r="A197" s="97" t="inlineStr">
        <is>
          <t>工作项目</t>
        </is>
      </c>
      <c r="B197" s="97" t="inlineStr">
        <is>
          <t>实际场景</t>
        </is>
      </c>
      <c r="C197" s="97" t="inlineStr">
        <is>
          <t>累计基础金额</t>
        </is>
      </c>
      <c r="D197" s="97" t="inlineStr">
        <is>
          <t>难度系数</t>
        </is>
      </c>
      <c r="E197" s="97" t="inlineStr">
        <is>
          <t>任务金额</t>
        </is>
      </c>
      <c r="F197" s="97" t="inlineStr">
        <is>
          <t>计算依据</t>
        </is>
      </c>
    </row>
    <row r="198" ht="27" customHeight="1" s="1">
      <c r="A198" s="98" t="inlineStr">
        <is>
          <t>市场调研与产品建议</t>
        </is>
      </c>
      <c r="B198" s="98" t="inlineStr">
        <is>
          <t>完成一个独立开发项目的市场调研</t>
        </is>
      </c>
      <c r="C198" s="99" t="n">
        <v>75</v>
      </c>
      <c r="D198" s="99" t="n">
        <v>1</v>
      </c>
      <c r="E198" s="98">
        <f>ROUND(C198*D198,2)</f>
        <v/>
      </c>
      <c r="F198" s="98" t="inlineStr">
        <is>
          <t>75元/独立项目</t>
        </is>
      </c>
    </row>
    <row r="199" ht="27" customHeight="1" s="1">
      <c r="A199" s="98" t="inlineStr">
        <is>
          <t>市场调研与产品建议</t>
        </is>
      </c>
      <c r="B199" s="98" t="inlineStr">
        <is>
          <t>调研后结论为不建议开发</t>
        </is>
      </c>
      <c r="C199" s="99" t="n">
        <v>75</v>
      </c>
      <c r="D199" s="99" t="n">
        <v>1</v>
      </c>
      <c r="E199" s="98">
        <f>ROUND(C199*D199,2)</f>
        <v/>
      </c>
      <c r="F199" s="98" t="inlineStr">
        <is>
          <t>调研完整通过验收，照常计75元</t>
        </is>
      </c>
    </row>
    <row r="200" ht="54" customHeight="1" s="1">
      <c r="A200" s="98" t="inlineStr">
        <is>
          <t>厂家筛选报价与合作条件确认</t>
        </is>
      </c>
      <c r="B200" s="98" t="inlineStr">
        <is>
          <t>一个项目联系多家厂家并确认合作条件</t>
        </is>
      </c>
      <c r="C200" s="99" t="n">
        <v>75</v>
      </c>
      <c r="D200" s="99" t="n">
        <v>1</v>
      </c>
      <c r="E200" s="98">
        <f>ROUND(C200*D200,2)</f>
        <v/>
      </c>
      <c r="F200" s="98" t="inlineStr">
        <is>
          <t>75元/独立项目，不按联系家数计</t>
        </is>
      </c>
    </row>
    <row r="201" ht="40.5" customHeight="1" s="1">
      <c r="A201" s="98" t="inlineStr">
        <is>
          <t>样品评估及问题跟进</t>
        </is>
      </c>
      <c r="B201" s="98" t="inlineStr">
        <is>
          <t>同一轮检查、整改和原问题复测</t>
        </is>
      </c>
      <c r="C201" s="99" t="n">
        <v>75</v>
      </c>
      <c r="D201" s="99" t="n">
        <v>1</v>
      </c>
      <c r="E201" s="98">
        <f>ROUND(C201*D201,2)</f>
        <v/>
      </c>
      <c r="F201" s="98" t="inlineStr">
        <is>
          <t>合计75元，不逐次累加</t>
        </is>
      </c>
    </row>
    <row r="202" ht="27" customHeight="1" s="1">
      <c r="A202" s="98" t="inlineStr">
        <is>
          <t>新品开发全流程</t>
        </is>
      </c>
      <c r="B202" s="98" t="inlineStr">
        <is>
          <t>一个项目完成调研＋找厂＋样品三阶段</t>
        </is>
      </c>
      <c r="C202" s="99" t="n">
        <v>225</v>
      </c>
      <c r="D202" s="99" t="n">
        <v>1</v>
      </c>
      <c r="E202" s="98">
        <f>ROUND(C202*D202,2)</f>
        <v/>
      </c>
      <c r="F202" s="98" t="inlineStr">
        <is>
          <t>75元×3阶段＝225元</t>
        </is>
      </c>
    </row>
    <row r="203" ht="40.5" customHeight="1" s="1">
      <c r="A203" s="98" t="inlineStr">
        <is>
          <t>新品开发（共用方案）</t>
        </is>
      </c>
      <c r="B203" s="98" t="inlineStr">
        <is>
          <t>3个尺寸共用同一套调研方案</t>
        </is>
      </c>
      <c r="C203" s="99" t="n">
        <v>75</v>
      </c>
      <c r="D203" s="99" t="n">
        <v>1</v>
      </c>
      <c r="E203" s="98">
        <f>ROUND(C203*D203,2)</f>
        <v/>
      </c>
      <c r="F203" s="98" t="inlineStr">
        <is>
          <t>共用调研不重复，仍计75元</t>
        </is>
      </c>
    </row>
    <row r="204" ht="27" customHeight="1" s="1">
      <c r="A204" s="98" t="inlineStr">
        <is>
          <t>产品资料整理与确认</t>
        </is>
      </c>
      <c r="B204" s="98" t="inlineStr">
        <is>
          <t>额外核实并补全一套独立产品资料</t>
        </is>
      </c>
      <c r="C204" s="99" t="n">
        <v>40</v>
      </c>
      <c r="D204" s="99" t="n">
        <v>1</v>
      </c>
      <c r="E204" s="98">
        <f>ROUND(C204*D204,2)</f>
        <v/>
      </c>
      <c r="F204" s="98" t="inlineStr">
        <is>
          <t>40元/独立资料套</t>
        </is>
      </c>
    </row>
    <row r="205" ht="40.5" customHeight="1" s="1">
      <c r="A205" s="98" t="inlineStr">
        <is>
          <t>产品资料整理与确认</t>
        </is>
      </c>
      <c r="B205" s="98" t="inlineStr">
        <is>
          <t>复制整理现成完整资料</t>
        </is>
      </c>
      <c r="C205" s="99" t="n">
        <v>0</v>
      </c>
      <c r="D205" s="99" t="n">
        <v>1</v>
      </c>
      <c r="E205" s="98">
        <f>ROUND(C205*D205,2)</f>
        <v/>
      </c>
      <c r="F205" s="98" t="inlineStr">
        <is>
          <t>已有完整资料不计本项</t>
        </is>
      </c>
    </row>
    <row r="206" ht="40.5" customHeight="1" s="1">
      <c r="A206" s="98" t="inlineStr">
        <is>
          <t>产品图片策划</t>
        </is>
      </c>
      <c r="B206" s="98" t="inlineStr">
        <is>
          <t>一套主辅图方案并核验成图</t>
        </is>
      </c>
      <c r="C206" s="99" t="n">
        <v>50</v>
      </c>
      <c r="D206" s="99" t="n">
        <v>1</v>
      </c>
      <c r="E206" s="98">
        <f>ROUND(C206*D206,2)</f>
        <v/>
      </c>
      <c r="F206" s="98" t="inlineStr">
        <is>
          <t>50元/独立方案</t>
        </is>
      </c>
    </row>
    <row r="207" ht="27" customHeight="1" s="1">
      <c r="A207" s="98" t="inlineStr">
        <is>
          <t>产品图片策划＋图片上传</t>
        </is>
      </c>
      <c r="B207" s="98" t="inlineStr">
        <is>
          <t>图片策划50元＋1个SKU图片上传10元</t>
        </is>
      </c>
      <c r="C207" s="99" t="n">
        <v>60</v>
      </c>
      <c r="D207" s="99" t="n">
        <v>1</v>
      </c>
      <c r="E207" s="98">
        <f>ROUND(C207*D207,2)</f>
        <v/>
      </c>
      <c r="F207" s="98" t="inlineStr">
        <is>
          <t>50元＋10元＝60元</t>
        </is>
      </c>
    </row>
    <row r="208" ht="27" customHeight="1" s="1">
      <c r="A208" s="98" t="inlineStr">
        <is>
          <t>产品图片策划</t>
        </is>
      </c>
      <c r="B208" s="98" t="inlineStr">
        <is>
          <t>A+内的素材策划（已含在A+75元中）</t>
        </is>
      </c>
      <c r="C208" s="99" t="n">
        <v>0</v>
      </c>
      <c r="D208" s="99" t="n">
        <v>1</v>
      </c>
      <c r="E208" s="98">
        <f>ROUND(C208*D208,2)</f>
        <v/>
      </c>
      <c r="F208" s="98" t="inlineStr">
        <is>
          <t>A+制作已含素材策划，不另计</t>
        </is>
      </c>
    </row>
    <row r="209" ht="27" customHeight="1" s="1">
      <c r="A209" s="98" t="inlineStr">
        <is>
          <t>视频字幕文案编写</t>
        </is>
      </c>
      <c r="B209" s="98" t="inlineStr">
        <is>
          <t>编写并核验一份独立字幕稿</t>
        </is>
      </c>
      <c r="C209" s="99" t="n">
        <v>25</v>
      </c>
      <c r="D209" s="99" t="n">
        <v>1</v>
      </c>
      <c r="E209" s="98">
        <f>ROUND(C209*D209,2)</f>
        <v/>
      </c>
      <c r="F209" s="98" t="inlineStr">
        <is>
          <t>25元/独立字幕稿</t>
        </is>
      </c>
    </row>
    <row r="210">
      <c r="A210" s="98" t="inlineStr">
        <is>
          <t>视频字幕＋视频上传</t>
        </is>
      </c>
      <c r="B210" s="98" t="inlineStr">
        <is>
          <t>字幕25元＋上传1个视频15元</t>
        </is>
      </c>
      <c r="C210" s="99" t="n">
        <v>40</v>
      </c>
      <c r="D210" s="99" t="n">
        <v>1</v>
      </c>
      <c r="E210" s="98">
        <f>ROUND(C210*D210,2)</f>
        <v/>
      </c>
      <c r="F210" s="98" t="inlineStr">
        <is>
          <t>25元＋15元＝40元</t>
        </is>
      </c>
    </row>
    <row r="211">
      <c r="A211" s="98" t="inlineStr">
        <is>
          <t>新品开发主动倍率</t>
        </is>
      </c>
      <c r="B211" s="98" t="inlineStr">
        <is>
          <t>主动发起市场调研并完成验收</t>
        </is>
      </c>
      <c r="C211" s="99" t="n">
        <v>75</v>
      </c>
      <c r="D211" s="99" t="n">
        <v>1.5</v>
      </c>
      <c r="E211" s="98">
        <f>ROUND(C211*D211,2)</f>
        <v/>
      </c>
      <c r="F211" s="98" t="inlineStr">
        <is>
          <t>75元×1.5＝112.50元</t>
        </is>
      </c>
    </row>
    <row r="212">
      <c r="A212" s="98" t="inlineStr">
        <is>
          <t>产品图片策划主动倍率</t>
        </is>
      </c>
      <c r="B212" s="98" t="inlineStr">
        <is>
          <t>主动发起图片策划并完成交付</t>
        </is>
      </c>
      <c r="C212" s="99" t="n">
        <v>50</v>
      </c>
      <c r="D212" s="99" t="n">
        <v>1.5</v>
      </c>
      <c r="E212" s="98">
        <f>ROUND(C212*D212,2)</f>
        <v/>
      </c>
      <c r="F212" s="98" t="inlineStr">
        <is>
          <t>50元×1.5＝75元</t>
        </is>
      </c>
    </row>
    <row r="213">
      <c r="A213" s="24" t="inlineStr">
        <is>
          <t>新增项目计费示例</t>
        </is>
      </c>
    </row>
    <row r="214">
      <c r="A214" s="56" t="inlineStr">
        <is>
          <t>工作项目</t>
        </is>
      </c>
      <c r="B214" s="56" t="inlineStr">
        <is>
          <t>实际场景</t>
        </is>
      </c>
      <c r="C214" s="56" t="inlineStr">
        <is>
          <t>累计基础金额</t>
        </is>
      </c>
      <c r="D214" s="56" t="inlineStr">
        <is>
          <t>难度系数</t>
        </is>
      </c>
      <c r="E214" s="56" t="inlineStr">
        <is>
          <t>任务金额</t>
        </is>
      </c>
      <c r="F214" s="56" t="inlineStr">
        <is>
          <t>计算依据</t>
        </is>
      </c>
    </row>
    <row r="215">
      <c r="A215" s="0" t="inlineStr">
        <is>
          <t>利润或亏损原因分析与优化建议</t>
        </is>
      </c>
      <c r="B215" s="0" t="inlineStr">
        <is>
          <t>完整分析1个ASIN利润问题并提出建议</t>
        </is>
      </c>
      <c r="C215" s="134" t="n">
        <v>30</v>
      </c>
      <c r="D215" s="134" t="n">
        <v>1</v>
      </c>
      <c r="E215" s="0">
        <f>ROUND(C215*D215,2)</f>
        <v/>
      </c>
      <c r="F215" s="0" t="inlineStr">
        <is>
          <t>30元/完整报告</t>
        </is>
      </c>
    </row>
    <row r="216">
      <c r="A216" s="0" t="inlineStr">
        <is>
          <t>利润分析（初步）</t>
        </is>
      </c>
      <c r="B216" s="0" t="inlineStr">
        <is>
          <t>初步排查并结案</t>
        </is>
      </c>
      <c r="C216" s="134" t="n">
        <v>15</v>
      </c>
      <c r="D216" s="134" t="n">
        <v>1</v>
      </c>
      <c r="E216" s="0">
        <f>ROUND(C216*D216,2)</f>
        <v/>
      </c>
      <c r="F216" s="0" t="inlineStr">
        <is>
          <t>初步15元；之后补齐再补15元</t>
        </is>
      </c>
    </row>
    <row r="217">
      <c r="A217" s="0" t="inlineStr">
        <is>
          <t>活动效果复盘</t>
        </is>
      </c>
      <c r="B217" s="0" t="inlineStr">
        <is>
          <t>1场Coupon活动覆盖10个ASIN的完整复盘</t>
        </is>
      </c>
      <c r="C217" s="134" t="n">
        <v>30</v>
      </c>
      <c r="D217" s="134" t="n">
        <v>1</v>
      </c>
      <c r="E217" s="0">
        <f>ROUND(C217*D217,2)</f>
        <v/>
      </c>
      <c r="F217" s="0" t="inlineStr">
        <is>
          <t>30元/独立活动，不按ASIN累加</t>
        </is>
      </c>
    </row>
    <row r="218">
      <c r="A218" s="0" t="inlineStr">
        <is>
          <t>费用异常核查与Case申诉</t>
        </is>
      </c>
      <c r="B218" s="0" t="inlineStr">
        <is>
          <t>1个ASIN尺寸分级费用异常，开Case并跟进</t>
        </is>
      </c>
      <c r="C218" s="134" t="n">
        <v>20</v>
      </c>
      <c r="D218" s="134" t="n">
        <v>1</v>
      </c>
      <c r="E218" s="0">
        <f>ROUND(C218*D218,2)</f>
        <v/>
      </c>
      <c r="F218" s="0" t="inlineStr">
        <is>
          <t>20元/独立费用问题</t>
        </is>
      </c>
    </row>
    <row r="219">
      <c r="A219" s="0" t="inlineStr">
        <is>
          <t>跟卖监控</t>
        </is>
      </c>
      <c r="B219" s="0" t="inlineStr">
        <is>
          <t>本周完成全部约定检查</t>
        </is>
      </c>
      <c r="C219" s="134" t="n">
        <v>5</v>
      </c>
      <c r="D219" s="134" t="n">
        <v>1</v>
      </c>
      <c r="E219" s="0">
        <f>ROUND(C219*D219,2)</f>
        <v/>
      </c>
      <c r="F219" s="0" t="inlineStr">
        <is>
          <t>5元/站点/清单/周</t>
        </is>
      </c>
    </row>
    <row r="220">
      <c r="A220" s="0" t="inlineStr">
        <is>
          <t>跟卖取证与举报</t>
        </is>
      </c>
      <c r="B220" s="0" t="inlineStr">
        <is>
          <t>已有证据完成举报并跟进</t>
        </is>
      </c>
      <c r="C220" s="134" t="n">
        <v>30</v>
      </c>
      <c r="D220" s="134" t="n">
        <v>1</v>
      </c>
      <c r="E220" s="0">
        <f>ROUND(C220*D220,2)</f>
        <v/>
      </c>
      <c r="F220" s="0" t="inlineStr">
        <is>
          <t>30元/独立案件</t>
        </is>
      </c>
    </row>
    <row r="221">
      <c r="A221" s="0" t="inlineStr">
        <is>
          <t>跟卖取证（含Test Buy）</t>
        </is>
      </c>
      <c r="B221" s="0" t="inlineStr">
        <is>
          <t>完成Test Buy取证全过程及案件处理</t>
        </is>
      </c>
      <c r="C221" s="134" t="n">
        <v>50</v>
      </c>
      <c r="D221" s="134" t="n">
        <v>1</v>
      </c>
      <c r="E221" s="0">
        <f>ROUND(C221*D221,2)</f>
        <v/>
      </c>
      <c r="F221" s="0" t="inlineStr">
        <is>
          <t>整案50元（含取证）</t>
        </is>
      </c>
    </row>
    <row r="222">
      <c r="A222" s="0" t="inlineStr">
        <is>
          <t>Vine报名与跟进</t>
        </is>
      </c>
      <c r="B222" s="0" t="inlineStr">
        <is>
          <t>1个报名项目含多个子SKU</t>
        </is>
      </c>
      <c r="C222" s="134" t="n">
        <v>15</v>
      </c>
      <c r="D222" s="134" t="n">
        <v>1</v>
      </c>
      <c r="E222" s="0">
        <f>ROUND(C222*D222,2)</f>
        <v/>
      </c>
      <c r="F222" s="0" t="inlineStr">
        <is>
          <t>15元/报名项目，不按子SKU累加</t>
        </is>
      </c>
    </row>
    <row r="223">
      <c r="A223" s="0" t="inlineStr">
        <is>
          <t>Brand Story全新策划</t>
        </is>
      </c>
      <c r="B223" s="0" t="inlineStr">
        <is>
          <t>全新策划1份品牌故事并绑定20个ASIN</t>
        </is>
      </c>
      <c r="C223" s="134" t="n">
        <v>75</v>
      </c>
      <c r="D223" s="134" t="n">
        <v>1</v>
      </c>
      <c r="E223" s="0">
        <f>ROUND(C223*D223,2)</f>
        <v/>
      </c>
      <c r="F223" s="0" t="inlineStr">
        <is>
          <t>75元/独立内容，不按ASIN累加</t>
        </is>
      </c>
    </row>
    <row r="224">
      <c r="A224" s="0" t="inlineStr">
        <is>
          <t>Brand Story局部修改</t>
        </is>
      </c>
      <c r="B224" s="0" t="inlineStr">
        <is>
          <t>修改已有品牌故事的2张卡片</t>
        </is>
      </c>
      <c r="C224" s="134" t="n">
        <v>10</v>
      </c>
      <c r="D224" s="134" t="n">
        <v>1</v>
      </c>
      <c r="E224" s="0">
        <f>ROUND(C224*D224,2)</f>
        <v/>
      </c>
      <c r="F224" s="0" t="inlineStr">
        <is>
          <t>10元/同份同轮</t>
        </is>
      </c>
    </row>
    <row r="225">
      <c r="A225" s="0" t="inlineStr">
        <is>
          <t>Subscribe &amp; Save设置</t>
        </is>
      </c>
      <c r="B225" s="0" t="inlineStr">
        <is>
          <t>同批10个ASIN加入并设折扣</t>
        </is>
      </c>
      <c r="C225" s="134" t="n">
        <v>10</v>
      </c>
      <c r="D225" s="134" t="n">
        <v>1</v>
      </c>
      <c r="E225" s="0">
        <f>ROUND(C225*D225,2)</f>
        <v/>
      </c>
      <c r="F225" s="0" t="inlineStr">
        <is>
          <t>10元/批，不按ASIN累加</t>
        </is>
      </c>
    </row>
    <row r="226">
      <c r="A226" s="0" t="inlineStr">
        <is>
          <t>Virtual Bundle新建</t>
        </is>
      </c>
      <c r="B226" s="0" t="inlineStr">
        <is>
          <t>新建1个虚拟捆绑商品</t>
        </is>
      </c>
      <c r="C226" s="134" t="n">
        <v>25</v>
      </c>
      <c r="D226" s="134" t="n">
        <v>1</v>
      </c>
      <c r="E226" s="0">
        <f>ROUND(C226*D226,2)</f>
        <v/>
      </c>
      <c r="F226" s="0" t="inlineStr">
        <is>
          <t>25元/独立捆绑</t>
        </is>
      </c>
    </row>
    <row r="227">
      <c r="A227" s="0" t="inlineStr">
        <is>
          <t>Virtual Bundle维护</t>
        </is>
      </c>
      <c r="B227" s="0" t="inlineStr">
        <is>
          <t>已有捆绑修改标题和价格</t>
        </is>
      </c>
      <c r="C227" s="134" t="n">
        <v>10</v>
      </c>
      <c r="D227" s="134" t="n">
        <v>1</v>
      </c>
      <c r="E227" s="0">
        <f>ROUND(C227*D227,2)</f>
        <v/>
      </c>
      <c r="F227" s="0" t="inlineStr">
        <is>
          <t>10元/同捆绑同轮维护</t>
        </is>
      </c>
    </row>
    <row r="230">
      <c r="A230" s="24" t="inlineStr">
        <is>
          <t>防重复计费速查：常见场景判定</t>
        </is>
      </c>
    </row>
    <row r="231">
      <c r="A231" s="31" t="inlineStr">
        <is>
          <t>序号</t>
        </is>
      </c>
      <c r="B231" s="31" t="inlineStr">
        <is>
          <t>场景描述</t>
        </is>
      </c>
      <c r="C231" s="31" t="inlineStr">
        <is>
          <t>正确计费</t>
        </is>
      </c>
      <c r="D231" s="31" t="inlineStr">
        <is>
          <t>错误计费</t>
        </is>
      </c>
      <c r="E231" s="31" t="inlineStr">
        <is>
          <t>判定依据</t>
        </is>
      </c>
      <c r="F231" s="31" t="inlineStr">
        <is>
          <t>所在规则</t>
        </is>
      </c>
      <c r="G231" s="31" t="n"/>
      <c r="H231" s="31" t="n"/>
    </row>
    <row r="232">
      <c r="A232" s="32" t="n">
        <v>1</v>
      </c>
      <c r="B232" s="32" t="inlineStr">
        <is>
          <t>A+完全重做后，是否可同时计A+制作发布75元和全新重做75元？</t>
        </is>
      </c>
      <c r="C232" s="32" t="inlineStr">
        <is>
          <t>只计一次75元</t>
        </is>
      </c>
      <c r="D232" s="32" t="inlineStr">
        <is>
          <t>叠加计150元</t>
        </is>
      </c>
      <c r="E232" s="32" t="inlineStr">
        <is>
          <t>同一成果只计一次</t>
        </is>
      </c>
      <c r="F232" s="32" t="inlineStr">
        <is>
          <t>任务评分·A+制作发布</t>
        </is>
      </c>
    </row>
    <row r="233">
      <c r="A233" s="32" t="n">
        <v>2</v>
      </c>
      <c r="B233" s="32" t="inlineStr">
        <is>
          <t>同一电压错误出现在标题、五点和A+三个位置</t>
        </is>
      </c>
      <c r="C233" s="32" t="inlineStr">
        <is>
          <t>修正全部位置，共10元</t>
        </is>
      </c>
      <c r="D233" s="32" t="inlineStr">
        <is>
          <t>按位置分别计30元</t>
        </is>
      </c>
      <c r="E233" s="32" t="inlineStr">
        <is>
          <t>同源错误合并为1个错误点</t>
        </is>
      </c>
      <c r="F233" s="32" t="inlineStr">
        <is>
          <t>任务评分·Listing纠错</t>
        </is>
      </c>
    </row>
    <row r="234">
      <c r="A234" s="32" t="n">
        <v>3</v>
      </c>
      <c r="B234" s="32" t="inlineStr">
        <is>
          <t>员工自主发现价格异常并修正，是否同时计任务金额和主动金额？</t>
        </is>
      </c>
      <c r="C234" s="32" t="inlineStr">
        <is>
          <t>按正常金额×主动倍率</t>
        </is>
      </c>
      <c r="D234" s="32" t="inlineStr">
        <is>
          <t>正常金额＋另加主动金额</t>
        </is>
      </c>
      <c r="E234" s="32" t="inlineStr">
        <is>
          <t>发起来源互斥：自主发起按倍率，不另加正常金额</t>
        </is>
      </c>
      <c r="F234" s="32" t="inlineStr">
        <is>
          <t>主动改善评价·二</t>
        </is>
      </c>
    </row>
    <row r="235">
      <c r="A235" s="32" t="n">
        <v>4</v>
      </c>
      <c r="B235" s="32" t="inlineStr">
        <is>
          <t>员工先提出建议，经负责人批准后建立任务执行</t>
        </is>
      </c>
      <c r="C235" s="32" t="inlineStr">
        <is>
          <t>按正常金额×主动倍率</t>
        </is>
      </c>
      <c r="D235" s="32" t="inlineStr">
        <is>
          <t>只按普通金额结算，遗漏适用主动倍率</t>
        </is>
      </c>
      <c r="E235" s="32" t="inlineStr">
        <is>
          <t>先提出即属主动发起，补建任务不改变来源</t>
        </is>
      </c>
      <c r="F235" s="32" t="inlineStr">
        <is>
          <t>主动改善评价·A17</t>
        </is>
      </c>
    </row>
    <row r="236">
      <c r="A236" s="32" t="n">
        <v>5</v>
      </c>
      <c r="B236" s="32" t="inlineStr">
        <is>
          <t>同一滞留库存问题先Relist再申诉</t>
        </is>
      </c>
      <c r="C236" s="32" t="inlineStr">
        <is>
          <t>合计15元（取最高档）</t>
        </is>
      </c>
      <c r="D236" s="32" t="inlineStr">
        <is>
          <t>移除10元＋申诉15元＝25元</t>
        </is>
      </c>
      <c r="E236" s="32" t="inlineStr">
        <is>
          <t>同一问题连续处理只取最高适用金额</t>
        </is>
      </c>
      <c r="F236" s="32" t="inlineStr">
        <is>
          <t>任务评分·滞留库存</t>
        </is>
      </c>
    </row>
    <row r="237">
      <c r="A237" s="32" t="n">
        <v>6</v>
      </c>
      <c r="B237" s="32" t="inlineStr">
        <is>
          <t>上架组包含5个SKU，OA记录5条</t>
        </is>
      </c>
      <c r="C237" s="32" t="inlineStr">
        <is>
          <t>按组总金额计（如52元）</t>
        </is>
      </c>
      <c r="D237" s="32" t="inlineStr">
        <is>
          <t>5条OA各计25元＝125元</t>
        </is>
      </c>
      <c r="E237" s="32" t="inlineStr">
        <is>
          <t>以执行组为单位，OA分摊组总金额</t>
        </is>
      </c>
      <c r="F237" s="32" t="inlineStr">
        <is>
          <t>场景示例·上架组</t>
        </is>
      </c>
    </row>
    <row r="238">
      <c r="A238" s="32" t="n">
        <v>7</v>
      </c>
      <c r="B238" s="32" t="inlineStr">
        <is>
          <t>5个SKU共用同一份新A+</t>
        </is>
      </c>
      <c r="C238" s="32" t="inlineStr">
        <is>
          <t>1份×75元＝75元</t>
        </is>
      </c>
      <c r="D238" s="32" t="inlineStr">
        <is>
          <t>5×75元＝375元</t>
        </is>
      </c>
      <c r="E238" s="32" t="inlineStr">
        <is>
          <t>共用同一份内容只计一份</t>
        </is>
      </c>
      <c r="F238" s="32" t="inlineStr">
        <is>
          <t>任务评分·A+制作发布</t>
        </is>
      </c>
    </row>
    <row r="239">
      <c r="A239" s="32" t="n">
        <v>8</v>
      </c>
      <c r="B239" s="32" t="inlineStr">
        <is>
          <t>同一份A+同一轮修改了6个模块</t>
        </is>
      </c>
      <c r="C239" s="32" t="inlineStr">
        <is>
          <t>合计10元</t>
        </is>
      </c>
      <c r="D239" s="32" t="inlineStr">
        <is>
          <t>6×10元＝60元</t>
        </is>
      </c>
      <c r="E239" s="32" t="inlineStr">
        <is>
          <t>同份同轮合计10元，不按模块数量累加</t>
        </is>
      </c>
      <c r="F239" s="32" t="inlineStr">
        <is>
          <t>任务评分·A+增删修改</t>
        </is>
      </c>
    </row>
    <row r="240">
      <c r="A240" s="32" t="n">
        <v>9</v>
      </c>
      <c r="B240" s="32" t="inlineStr">
        <is>
          <t>同站点1个ASIN的Buy Box异常多次开Case后恢复</t>
        </is>
      </c>
      <c r="C240" s="32" t="inlineStr">
        <is>
          <t>合计15元</t>
        </is>
      </c>
      <c r="D240" s="32" t="inlineStr">
        <is>
          <t>按Case数量计费</t>
        </is>
      </c>
      <c r="E240" s="32" t="inlineStr">
        <is>
          <t>按ASIN计费，同一ASIN多个SKU或多个Case不增加金额</t>
        </is>
      </c>
      <c r="F240" s="32" t="inlineStr">
        <is>
          <t>任务评分·Buy Box</t>
        </is>
      </c>
    </row>
    <row r="241">
      <c r="A241" s="32" t="n">
        <v>10</v>
      </c>
      <c r="B241" s="32" t="inlineStr">
        <is>
          <t>同一Listing标题在复盘前又做了一次优化修改</t>
        </is>
      </c>
      <c r="C241" s="32" t="inlineStr">
        <is>
          <t>并入原任务，不新增金额</t>
        </is>
      </c>
      <c r="D241" s="32" t="inlineStr">
        <is>
          <t>新建优化任务再计10元</t>
        </is>
      </c>
      <c r="E241" s="32" t="inlineStr">
        <is>
          <t>同模块复盘前追加并入，不重复</t>
        </is>
      </c>
      <c r="F241" s="32" t="inlineStr">
        <is>
          <t>优化登记与复盘规则</t>
        </is>
      </c>
    </row>
    <row r="242">
      <c r="A242" s="32" t="n">
        <v>11</v>
      </c>
      <c r="B242" s="32" t="inlineStr">
        <is>
          <t>创建1个SP Campaign产生多条Ads Change记录</t>
        </is>
      </c>
      <c r="C242" s="32" t="inlineStr">
        <is>
          <t>只计一次15元</t>
        </is>
      </c>
      <c r="D242" s="32" t="inlineStr">
        <is>
          <t>按Ads Change条数计费</t>
        </is>
      </c>
      <c r="E242" s="32" t="inlineStr">
        <is>
          <t>以Campaign ID去重</t>
        </is>
      </c>
      <c r="F242" s="32" t="inlineStr">
        <is>
          <t>任务评分·SP广告创建</t>
        </is>
      </c>
    </row>
    <row r="243">
      <c r="A243" s="32" t="n">
        <v>12</v>
      </c>
      <c r="B243" s="32" t="inlineStr">
        <is>
          <t>纠错修复的是自己上次操作造成的错误</t>
        </is>
      </c>
      <c r="C243" s="32" t="inlineStr">
        <is>
          <t>不新增任务金额或主动金额</t>
        </is>
      </c>
      <c r="D243" s="32" t="inlineStr">
        <is>
          <t>计纠错10元/错误点</t>
        </is>
      </c>
      <c r="E243" s="32" t="inlineStr">
        <is>
          <t>修复本人错误属于返工</t>
        </is>
      </c>
      <c r="F243" s="32" t="inlineStr">
        <is>
          <t>运营工作明细·Listing纠错</t>
        </is>
      </c>
    </row>
    <row r="244">
      <c r="A244" s="100" t="n">
        <v>13</v>
      </c>
      <c r="B244" s="100" t="inlineStr">
        <is>
          <t>3个尺寸共用同一套调研方案，是否分别领取75元？</t>
        </is>
      </c>
      <c r="C244" s="100" t="inlineStr">
        <is>
          <t>共用方案只计一次75元</t>
        </is>
      </c>
      <c r="D244" s="100" t="inlineStr">
        <is>
          <t>每个尺寸各领75元＝225元</t>
        </is>
      </c>
      <c r="E244" s="100" t="inlineStr">
        <is>
          <t>共用调研/厂家/验证方案不重复领取</t>
        </is>
      </c>
      <c r="F244" s="100" t="inlineStr">
        <is>
          <t>任务评分·新品开发</t>
        </is>
      </c>
    </row>
    <row r="245">
      <c r="A245" s="100" t="n">
        <v>14</v>
      </c>
      <c r="B245" s="100" t="inlineStr">
        <is>
          <t>已完成A+制作（75元），是否可同时计图片策划50元？</t>
        </is>
      </c>
      <c r="C245" s="100" t="inlineStr">
        <is>
          <t>A+已含素材策划，不另计</t>
        </is>
      </c>
      <c r="D245" s="100" t="inlineStr">
        <is>
          <t>叠加计75＋50＝125元</t>
        </is>
      </c>
      <c r="E245" s="100" t="inlineStr">
        <is>
          <t>A+制作已包含素材策划</t>
        </is>
      </c>
      <c r="F245" s="100" t="inlineStr">
        <is>
          <t>任务评分·产品图片策划</t>
        </is>
      </c>
    </row>
    <row r="246">
      <c r="A246" s="100" t="n">
        <v>15</v>
      </c>
      <c r="B246" s="100" t="inlineStr">
        <is>
          <t>调研/找厂已交付产品资料，是否可再计资料整理40元？</t>
        </is>
      </c>
      <c r="C246" s="100" t="inlineStr">
        <is>
          <t>已交付的相同资料不重复计</t>
        </is>
      </c>
      <c r="D246" s="100" t="inlineStr">
        <is>
          <t>调研75＋资料40＝叠加115元</t>
        </is>
      </c>
      <c r="E246" s="100" t="inlineStr">
        <is>
          <t>同一交付不按两个项目分别领取</t>
        </is>
      </c>
      <c r="F246" s="100" t="inlineStr">
        <is>
          <t>任务评分·产品资料整理</t>
        </is>
      </c>
    </row>
    <row r="247">
      <c r="A247" s="0" t="n">
        <v>16</v>
      </c>
      <c r="B247" s="0" t="inlineStr">
        <is>
          <t>Brand Story全新策划75元与A+制作发布75元是否叠加？</t>
        </is>
      </c>
      <c r="C247" s="0" t="inlineStr">
        <is>
          <t>确有独立交付时可分别计费，合计150元</t>
        </is>
      </c>
      <c r="D247" s="0" t="inlineStr">
        <is>
          <t>共用相同素材或策划，仅做一套内容却按两个项目各报75元</t>
        </is>
      </c>
      <c r="E247" s="0" t="inlineStr">
        <is>
          <t>Brand Story与A+为独立内容模块；同一份素材或策划不按名称重复领取</t>
        </is>
      </c>
      <c r="F247" s="0" t="inlineStr">
        <is>
          <t>任务评分·Brand Story / A+制作发布</t>
        </is>
      </c>
    </row>
    <row r="248">
      <c r="A248" s="0" t="n">
        <v>17</v>
      </c>
      <c r="B248" s="0" t="inlineStr">
        <is>
          <t>跟卖监控5元与跟卖取证30元是否叠加？</t>
        </is>
      </c>
      <c r="C248" s="0" t="inlineStr">
        <is>
          <t>监控和取证是独立任务，分别计费</t>
        </is>
      </c>
      <c r="D248" s="0" t="inlineStr">
        <is>
          <t>取证包含监控，只计30元</t>
        </is>
      </c>
      <c r="E248" s="0" t="inlineStr">
        <is>
          <t>监控为固定巡检，取证为独立案件处理，可同时存在</t>
        </is>
      </c>
      <c r="F248" s="0" t="inlineStr">
        <is>
          <t>任务评分·品牌保护</t>
        </is>
      </c>
    </row>
    <row r="249">
      <c r="A249" s="0" t="n">
        <v>18</v>
      </c>
      <c r="B249" s="0" t="inlineStr">
        <is>
          <t>Virtual Bundle创建25元与Listing创建25元是否叠加？</t>
        </is>
      </c>
      <c r="C249" s="0" t="inlineStr">
        <is>
          <t>Virtual Bundle已含初始配置，不叠加Listing创建</t>
        </is>
      </c>
      <c r="D249" s="0" t="inlineStr">
        <is>
          <t>分别计50元</t>
        </is>
      </c>
      <c r="E249" s="0" t="inlineStr">
        <is>
          <t>VB创建已包含文案填入和图片配置</t>
        </is>
      </c>
      <c r="F249" s="0" t="inlineStr">
        <is>
          <t>任务评分·Virtual Bundle</t>
        </is>
      </c>
    </row>
    <row r="250">
      <c r="A250" s="0" t="n">
        <v>19</v>
      </c>
      <c r="B250" s="0" t="inlineStr">
        <is>
          <t>利润分析完成后另行改价，是否叠加？</t>
        </is>
      </c>
      <c r="C250" s="0" t="inlineStr">
        <is>
          <t>分析30元＋价格调整15元，分别计费</t>
        </is>
      </c>
      <c r="D250" s="0" t="inlineStr">
        <is>
          <t>分析已包含改价</t>
        </is>
      </c>
      <c r="E250" s="0" t="inlineStr">
        <is>
          <t>分析是交付报告和建议，改价是独立执行任务</t>
        </is>
      </c>
      <c r="F250" s="0" t="inlineStr">
        <is>
          <t>任务评分·利润分析 / 价格调整</t>
        </is>
      </c>
    </row>
    <row r="251">
      <c r="A251" s="0" t="n">
        <v>20</v>
      </c>
      <c r="B251" s="0" t="inlineStr">
        <is>
          <t>同一案件先30元举报后补Test Buy，是否计30＋50＝80元？</t>
        </is>
      </c>
      <c r="C251" s="0" t="inlineStr">
        <is>
          <t>先结30元，补足至50元，不超过50元</t>
        </is>
      </c>
      <c r="D251" s="0" t="inlineStr">
        <is>
          <t>分别计80元</t>
        </is>
      </c>
      <c r="E251" s="0" t="inlineStr">
        <is>
          <t>两档只取最高，先结30元后补足最多20元</t>
        </is>
      </c>
      <c r="F251" s="0" t="inlineStr">
        <is>
          <t>任务评分·跟卖取证</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26"/>
  <sheetViews>
    <sheetView workbookViewId="0">
      <pane ySplit="1" topLeftCell="A2" activePane="bottomLeft" state="frozen"/>
      <selection activeCell="A1" sqref="A1"/>
    </sheetView>
  </sheetViews>
  <sheetFormatPr baseColWidth="8" defaultColWidth="9" defaultRowHeight="13.5"/>
  <cols>
    <col width="24" customWidth="1" style="1" min="1" max="1"/>
    <col width="115" customWidth="1" style="1" min="2" max="2"/>
  </cols>
  <sheetData>
    <row r="1" ht="32" customHeight="1" s="1">
      <c r="A1" s="3" t="inlineStr">
        <is>
          <t>规则项目</t>
        </is>
      </c>
      <c r="B1" s="3" t="inlineStr">
        <is>
          <t>执行标准（试行，可后续调整）</t>
        </is>
      </c>
    </row>
    <row r="2" ht="100" customHeight="1" s="1">
      <c r="A2" s="3" t="inlineStr">
        <is>
          <t>适用范围</t>
        </is>
      </c>
      <c r="B2" s="3" t="inlineStr">
        <is>
          <t>适用于已有Listing标题、五点、描述、Generic Keywords及A+等内容的实质优化。新品首次文案编写按对应编写项目验收可用定稿，不强制等待上线效果复盘；首次A+制作完成发布及应用核验后验收。首次内容交付后继续修订原稿不自动成为新优化任务。</t>
        </is>
      </c>
    </row>
    <row r="3" ht="100" customHeight="1" s="1">
      <c r="A3" s="3" t="inlineStr">
        <is>
          <t>优化前登记</t>
        </is>
      </c>
      <c r="B3" s="3" t="inlineStr">
        <is>
          <t>登记任务编号、人员、站点、Listing/SKU或A+内容编号、具体问题、证据、拟修改模块、预期目标、预计金额及复盘日期。负责人确认后执行；主动提出的方案同样登记。</t>
        </is>
      </c>
    </row>
    <row r="4" ht="100" customHeight="1" s="1">
      <c r="A4" s="3" t="inlineStr">
        <is>
          <t>有效优化</t>
        </is>
      </c>
      <c r="B4" s="3" t="inlineStr">
        <is>
          <t>必须针对具体问题进行实质改进。无依据地换同义词、调整语序、反复恢复旧版等，不作为新优化任务计费。资料修正属于纠错时按纠错规则。 上架中用Codex改写已有文案已含上架基础金额，不另计内容编写；需独立研究和构思并交付原创文案时才另计。</t>
        </is>
      </c>
    </row>
    <row r="5" ht="100" customHeight="1" s="1">
      <c r="A5" s="3" t="inlineStr">
        <is>
          <t>计费单位</t>
        </is>
      </c>
      <c r="B5" s="3" t="inlineStr">
        <is>
          <t>标题10元/个；五点15元/套（改1点或全部五点均15元）；描述15元/份；Generic Keywords 10元/套；独立全新或完全重做A+75元/份；同一份A+同一轮局部修改10元。系数均固定1.0。</t>
        </is>
      </c>
    </row>
    <row r="6" ht="100" customHeight="1" s="1">
      <c r="A6" s="3" t="inlineStr">
        <is>
          <t>复盘前合并</t>
        </is>
      </c>
      <c r="B6" s="3" t="inlineStr">
        <is>
          <t>同一站点、同一Listing的同一模块，或同一份共享A+，在上轮复盘完成前不得再领取该模块的新优化金额。追加修改、调试、回滚、返工并入原任务；换OA编号、拆分五点、换人员或跨月不解除限制。</t>
        </is>
      </c>
    </row>
    <row r="7" ht="100" customHeight="1" s="1">
      <c r="A7" s="3" t="inlineStr">
        <is>
          <t>不同模块</t>
        </is>
      </c>
      <c r="B7" s="3" t="inlineStr">
        <is>
          <t>同一Listing的其他模块有独立问题和目标时可以纳入当前方案，按实际模块计一次。共同优化尽量一次登记、统一复盘，不把连续修改拆成多轮领取金额。</t>
        </is>
      </c>
    </row>
    <row r="8" ht="100" customHeight="1" s="1">
      <c r="A8" s="3" t="inlineStr">
        <is>
          <t>复盘时间</t>
        </is>
      </c>
      <c r="B8" s="3" t="inlineStr">
        <is>
          <t>试行默认：内容实际生效后14天复盘。登记生效日、观察区间及到期日；数据不足可记录原因和新日期继续观察。不能仅凭等待满14天认定完成复盘。</t>
        </is>
      </c>
    </row>
    <row r="9" ht="100" customHeight="1" s="1">
      <c r="A9" s="3" t="inlineStr">
        <is>
          <t>复盘内容</t>
        </is>
      </c>
      <c r="B9" s="3" t="inlineStr">
        <is>
          <t>核对原问题是否改善，提供修改前后内容及可获得的相关数据，注明价格、广告、库存等同期变化，形成保留、调整、回滚或继续观察的结论。结论为继续观察时保持待复盘。</t>
        </is>
      </c>
    </row>
    <row r="10" ht="100" customHeight="1" s="1">
      <c r="A10" s="3" t="inlineStr">
        <is>
          <t>金额结算</t>
        </is>
      </c>
      <c r="B10" s="3" t="inlineStr">
        <is>
          <t>负责人安排的优化先登记预计任务金额，内容发布核验且复盘形成结论后结算。自主发起改善按正常任务金额×主动倍率结算（见"任务评分"主动执行倍率规则），不再使用主动改善等级金额。结果未增长不自动判为零金额，按依据、实际交付及复盘验收；同一工作不跨两条路径重复计费。 新品首次文案编写按可用定稿验收，不适用本页优化复盘等待要求；其他制作及发布任务按各项目完成条件验收。</t>
        </is>
      </c>
    </row>
    <row r="11" ht="100" customHeight="1" s="1">
      <c r="A11" s="3" t="inlineStr">
        <is>
          <t>允许下一轮的条件</t>
        </is>
      </c>
      <c r="B11" s="3" t="inlineStr">
        <is>
          <t>上一轮已完成复盘，且出现新证据、新问题或经确认的新目标，才能建立新的计费优化任务。完成复盘本身不是再次领取金额的依据。</t>
        </is>
      </c>
    </row>
    <row r="12" ht="100" customHeight="1" s="1">
      <c r="A12" s="3" t="inlineStr">
        <is>
          <t>紧急纠错</t>
        </is>
      </c>
      <c r="B12" s="3" t="inlineStr">
        <is>
          <t>事实错误或合规展示问题应及时处理，不因等待复盘拖延。是否另计酬须按本页“责任纠错与资料变更”规则核定：本人责任纠错不另计酬；按原确认资料正确执行后的新增变更，按对应任务验收计酬。</t>
        </is>
      </c>
    </row>
    <row r="13" ht="100" customHeight="1" s="1">
      <c r="A13" s="3" t="inlineStr">
        <is>
          <t>避免交叉重复</t>
        </is>
      </c>
      <c r="B13" s="3" t="inlineStr">
        <is>
          <t>同一A+重做只在一个工作项目领取75元；同一纠错不再领取优化或图片修改金额。共享A+按内容编号管理，不因绑定多个SKU重复领取内容制作或模块修改金额。</t>
        </is>
      </c>
    </row>
    <row r="14" ht="100" customHeight="1" s="1">
      <c r="A14" s="3" t="inlineStr">
        <is>
          <t>主动改善衔接</t>
        </is>
      </c>
      <c r="B14" s="3" t="inlineStr">
        <is>
          <t>按实际发起来源确定适用倍率，主动提出后经批准或补建任务不改变来源。任务绩效金额＝累计基础金额×难度系数×适用主动倍率；负责人安排或固定例行任务倍率1。每项任务只结算一次，最终金额保留2位小数；月度任务绩效为当月已验收任务金额之和。 经验证的业务改善可另外申请成果奖励，按“改善成果奖励”页核定；负责人安排和主动发起均可申请，不与任务金额混算倍率。月度另加当月已核定成果奖励，已发部分不重复结算。</t>
        </is>
      </c>
    </row>
    <row r="15" ht="100" customHeight="1" s="1">
      <c r="A15" s="3" t="inlineStr">
        <is>
          <t>台账字段</t>
        </is>
      </c>
      <c r="B15" s="3" t="inlineStr">
        <is>
          <t>任务编号｜人员｜站点｜Listing/SKU或内容编号｜优化模块｜问题与证据｜预期目标｜修改前后内容｜预计金额｜实际生效日｜计划复盘日｜状态｜复盘证据与结论｜实际结算金额｜结算月｜关联主动改善编号。</t>
        </is>
      </c>
    </row>
    <row r="16" ht="100" customHeight="1" s="1">
      <c r="A16" s="3" t="inlineStr">
        <is>
          <t>状态流转</t>
        </is>
      </c>
      <c r="B16" s="3" t="inlineStr">
        <is>
          <t>待确认 → 执行中 → 待生效核验 → 待复盘 → 已完成/已结算。数据不足记录延期；复盘未完成不建立同模块的新计费任务。</t>
        </is>
      </c>
    </row>
    <row r="17" ht="65" customHeight="1" s="1">
      <c r="A17" s="111" t="inlineStr">
        <is>
          <t>责任纠错与资料变更</t>
        </is>
      </c>
      <c r="B17" s="112" t="inlineStr">
        <is>
          <t>以下规则适用于所有工作项目，包括新品开发、运营执行和主动改善。判断依据是操作当时已确认的资料及执行记录，不以产品归属或当前参数倒推责任。</t>
        </is>
      </c>
    </row>
    <row r="18" ht="115" customHeight="1" s="1">
      <c r="A18" s="108" t="inlineStr">
        <is>
          <t>本人责任纠错不另计酬</t>
        </is>
      </c>
      <c r="B18" s="107" t="inlineStr">
        <is>
          <t>因本人操作、编写或应核验事项的疏漏造成的错误，后续纠错、补交及返工属于原任务责任范围，不另计任务报酬、主动加成或成果奖励。跨月、补建OA任务不改变规则。本人开发产品也按此规则，不将该产品后续所有新增工作一律视为返工。</t>
        </is>
      </c>
    </row>
    <row r="19" ht="115" customHeight="1" s="1">
      <c r="A19" s="106" t="inlineStr">
        <is>
          <t>执行错误如何判定</t>
        </is>
      </c>
      <c r="B19" s="105" t="inlineStr">
        <is>
          <t>当时确认资料正确，员工填写或上传结果与之不一致，属于执行错误。例：确认12V，上传24V，本人更正为12V不另计酬。资料缺失或冲突时未经确认自行填写导致错误，也属于责任纠错。</t>
        </is>
      </c>
    </row>
    <row r="20" ht="115" customHeight="1" s="1">
      <c r="A20" s="108" t="inlineStr">
        <is>
          <t>负责人更新或更正资料</t>
        </is>
      </c>
      <c r="B20" s="107" t="inlineStr">
        <is>
          <t>员工按当时确认资料正确执行，之后负责人更新或更正参数，对执行员工而言按新增修改任务计酬。例：确认12V且上传12V，后续通知改24V，可按对应任务计酬。员工提出疑问并取得确认后正确执行的，适用同一原则。</t>
        </is>
      </c>
    </row>
    <row r="21" ht="115" customHeight="1" s="1">
      <c r="A21" s="106" t="inlineStr">
        <is>
          <t>开发责任与新增需求</t>
        </is>
      </c>
      <c r="B21" s="105" t="inlineStr">
        <is>
          <t>本人开发时应确认的参数、资料、图片信息或字幕有误或遗漏，或约定样品评估漏检，后续补救不另计酬。产品后续真实规格变更、新客户反馈带来的有效优化、平台规则变化或系统异常，可按对应新增任务计酬。同一人兼任产品负责人及执行人，不得通过更新资料将本人原有错误变为新增任务。</t>
        </is>
      </c>
    </row>
    <row r="22" ht="115" customHeight="1" s="1">
      <c r="A22" s="108" t="inlineStr">
        <is>
          <t>保留原资料和执行证据</t>
        </is>
      </c>
      <c r="B22" s="107" t="inlineStr">
        <is>
          <t>OA保留操作当时的附件或确认内容、版本及确认时间，后续新文件不得覆盖旧版本。员工自行编写的资料也保留提交确认版本；关联上传文件、修改记录或结果截图，以便比对当时依据和实际执行。</t>
        </is>
      </c>
    </row>
    <row r="23" ht="115" customHeight="1" s="1">
      <c r="A23" s="106" t="inlineStr">
        <is>
          <t>更正登记与责任确认</t>
        </is>
      </c>
      <c r="B23" s="105" t="inlineStr">
        <is>
          <t>更正记录填写原任务编号、原资料版本、原值→新值、变更原因、执行证据及确认人。原因选择“本人责任纠错”或“负责人更新／更正资料等新增变更”；无法判断先标“待核实”。负责人核实确认，不能仅凭员工自行选择类别结算。</t>
        </is>
      </c>
    </row>
    <row r="24" ht="115" customHeight="1" s="1">
      <c r="A24" s="108" t="inlineStr">
        <is>
          <t>证据不足与结算</t>
        </is>
      </c>
      <c r="B24" s="107" t="inlineStr">
        <is>
          <t>找不到原资料或证据相互冲突时，不直接认定员工操作错误，由负责人核实并记录结论，待核实期间暂不结算该更正任务。确认属于本人责任纠错后，结算金额为0，保留处理记录且不计主动加成和成果奖励；确认属于新增变更后按对应任务标准验收结算。</t>
        </is>
      </c>
    </row>
    <row r="25" ht="130" customHeight="1" s="1">
      <c r="A25" s="125" t="inlineStr">
        <is>
          <t>参数更新与已有项目</t>
        </is>
      </c>
      <c r="B25" s="125" t="inlineStr">
        <is>
          <t>商品属性或参数更新不新增独立收费行。按实际修改对象使用现有Listing纠错、内容优化或变体关系维护项目；涉及Case时使用对应异常项目，同一交付只计一次。原错误修正与负责人后续更新参数按本页责任判定规则区分，不将准确的新参数更新直接认定为本人纠错。现有项目未覆盖的后台属性批量更新，应先明确适用任务及金额，不自行按多个文案模块叠加。</t>
        </is>
      </c>
    </row>
    <row r="26" ht="100" customHeight="1" s="1">
      <c r="A26" s="133" t="inlineStr">
        <is>
          <t>系列新品共用内容</t>
        </is>
      </c>
      <c r="B26" s="133" t="inlineStr">
        <is>
          <t>同一系列仅参数不同的首次内容，按独立原创套数计酬；参数替换、复制填表不按每个Listing领取原创费。详见“系列开发计酬”，共用与独立内容须关联同一系列项目编号并确认。</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heetView>
  </sheetViews>
  <sheetFormatPr baseColWidth="8" defaultColWidth="9" defaultRowHeight="13.5"/>
  <cols>
    <col width="22" customWidth="1" style="1" min="1" max="1"/>
    <col width="10" customWidth="1" style="1" min="2" max="2"/>
    <col width="43" customWidth="1" style="1" min="3" max="3"/>
    <col width="65" customWidth="1" style="1" min="4" max="4"/>
    <col width="55" customWidth="1" style="1" min="5" max="5"/>
    <col width="53" customWidth="1" style="1" min="6" max="6"/>
    <col width="55" customWidth="1" style="1" min="7" max="7"/>
  </cols>
  <sheetData>
    <row r="1" ht="35" customHeight="1" s="1">
      <c r="A1" s="2" t="inlineStr">
        <is>
          <t>原Campaign分类计费规则已停用</t>
        </is>
      </c>
    </row>
    <row r="2" ht="65" customHeight="1" s="1">
      <c r="A2" s="3" t="inlineStr">
        <is>
          <t>本页原分类档位规则不再适用。当前广告调整按任务评分表的人民币金额和每周频次规则结算。</t>
        </is>
      </c>
    </row>
    <row r="3" ht="65" customHeight="1" s="1">
      <c r="A3" s="3" t="n"/>
    </row>
    <row r="4" ht="13.85000038146973" customHeight="1" s="1">
      <c r="A4" s="4" t="inlineStr">
        <is>
          <t>本表已于2026年9月归档。现行计费以"任务评分"及"主动改善评价"为准。保留仅供历史参考。</t>
        </is>
      </c>
      <c r="B4" s="3" t="n"/>
      <c r="C4" s="3" t="n"/>
      <c r="D4" s="3" t="n"/>
      <c r="E4" s="3" t="n"/>
      <c r="F4" s="3" t="n"/>
      <c r="G4" s="3" t="n"/>
    </row>
    <row r="5" ht="34" customHeight="1" s="1">
      <c r="A5" s="2" t="n"/>
      <c r="B5" s="2" t="n"/>
      <c r="C5" s="2" t="n"/>
      <c r="D5" s="2" t="n"/>
      <c r="E5" s="2" t="n"/>
      <c r="F5" s="2" t="n"/>
      <c r="G5" s="2" t="n"/>
    </row>
    <row r="6" ht="250" customHeight="1" s="1">
      <c r="A6" s="3" t="n"/>
      <c r="B6" s="5" t="n"/>
      <c r="C6" s="3" t="n"/>
      <c r="D6" s="3" t="n"/>
      <c r="E6" s="3" t="n"/>
      <c r="F6" s="3" t="n"/>
      <c r="G6" s="3" t="n"/>
    </row>
    <row r="7" ht="230" customHeight="1" s="1">
      <c r="A7" s="3" t="n"/>
      <c r="B7" s="5" t="n"/>
      <c r="C7" s="3" t="n"/>
      <c r="D7" s="3" t="n"/>
      <c r="E7" s="3" t="n"/>
      <c r="F7" s="3" t="n"/>
      <c r="G7" s="3" t="n"/>
    </row>
    <row r="8" ht="230" customHeight="1" s="1">
      <c r="A8" s="3" t="n"/>
      <c r="B8" s="5" t="n"/>
      <c r="C8" s="3" t="n"/>
      <c r="D8" s="3" t="n"/>
      <c r="E8" s="3" t="n"/>
      <c r="F8" s="3" t="n"/>
      <c r="G8" s="3" t="n"/>
    </row>
    <row r="9" ht="230" customHeight="1" s="1">
      <c r="A9" s="3" t="n"/>
      <c r="B9" s="5" t="n"/>
      <c r="C9" s="3" t="n"/>
      <c r="D9" s="3" t="n"/>
      <c r="E9" s="3" t="n"/>
      <c r="F9" s="3" t="n"/>
      <c r="G9" s="3" t="n"/>
    </row>
    <row r="10" ht="230" customHeight="1" s="1">
      <c r="A10" s="3" t="n"/>
      <c r="B10" s="5" t="n"/>
      <c r="C10" s="3" t="n"/>
      <c r="D10" s="3" t="n"/>
      <c r="E10" s="3" t="n"/>
      <c r="F10" s="3" t="n"/>
      <c r="G10" s="3" t="n"/>
    </row>
    <row r="11" ht="13.85000038146973" customHeight="1" s="1">
      <c r="A11" s="3" t="n"/>
      <c r="B11" s="3" t="n"/>
      <c r="C11" s="3" t="n"/>
      <c r="D11" s="3" t="n"/>
      <c r="E11" s="3" t="n"/>
      <c r="F11" s="3" t="n"/>
      <c r="G11" s="3" t="n"/>
    </row>
    <row r="12" ht="13.85000038146973" customHeight="1" s="1">
      <c r="A12" s="3" t="n"/>
      <c r="B12" s="3" t="n"/>
      <c r="C12" s="3" t="n"/>
      <c r="D12" s="3" t="n"/>
      <c r="E12" s="3" t="n"/>
      <c r="F12" s="3" t="n"/>
      <c r="G12" s="3" t="n"/>
    </row>
    <row r="13" ht="30" customHeight="1" s="1">
      <c r="A13" s="2" t="n"/>
    </row>
    <row r="14" ht="120" customHeight="1" s="1">
      <c r="A14" s="3" t="n"/>
      <c r="C14" s="3" t="n"/>
    </row>
    <row r="15" ht="85" customHeight="1" s="1">
      <c r="A15" s="3" t="n"/>
      <c r="C15" s="3" t="n"/>
    </row>
    <row r="16" ht="65" customHeight="1" s="1">
      <c r="A16" s="3" t="n"/>
      <c r="C16" s="3" t="n"/>
    </row>
    <row r="17" ht="65" customHeight="1" s="1">
      <c r="A17" s="3" t="n"/>
      <c r="C17" s="3" t="n"/>
    </row>
    <row r="18" ht="65" customHeight="1" s="1">
      <c r="A18" s="3" t="n"/>
      <c r="C18" s="3" t="n"/>
    </row>
    <row r="19" ht="65" customHeight="1" s="1">
      <c r="A19" s="3" t="n"/>
      <c r="C19" s="3" t="n"/>
    </row>
    <row r="20" ht="85" customHeight="1" s="1">
      <c r="A20" s="3" t="n"/>
      <c r="C20" s="3" t="n"/>
    </row>
    <row r="21" ht="65" customHeight="1" s="1">
      <c r="A21" s="3" t="n"/>
      <c r="C21" s="3" t="n"/>
    </row>
    <row r="22" ht="100" customHeight="1" s="1">
      <c r="A22" s="3" t="n"/>
      <c r="C22" s="3" t="n"/>
    </row>
    <row r="23" ht="100" customHeight="1" s="1">
      <c r="A23" s="3" t="n"/>
      <c r="C23" s="3"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7" customWidth="1" style="1" min="1" max="1"/>
    <col width="40" customWidth="1" style="1" min="2" max="2"/>
    <col width="48" customWidth="1" style="1" min="3" max="3"/>
    <col width="48" customWidth="1" style="1" min="4" max="4"/>
    <col width="52" customWidth="1" style="1" min="5" max="5"/>
  </cols>
  <sheetData>
    <row r="1" ht="36" customHeight="1" s="1">
      <c r="A1" s="77" t="inlineStr">
        <is>
          <t>改善成果奖励规则</t>
        </is>
      </c>
    </row>
    <row r="2" ht="85" customHeight="1" s="1">
      <c r="A2" s="125" t="inlineStr">
        <is>
          <t>适用范围</t>
        </is>
      </c>
      <c r="B2" s="125" t="inlineStr">
        <is>
          <t>负责人安排或员工主动发起的改善均可申报。任务金额奖励已完成的工作，成果奖励认可经验证的业务改善；同一工作可同时获得任务金额和成果奖励。</t>
        </is>
      </c>
    </row>
    <row r="3" ht="36" customHeight="1" s="1">
      <c r="A3" s="77" t="inlineStr">
        <is>
          <t>奖励档位</t>
        </is>
      </c>
      <c r="B3" s="77" t="inlineStr">
        <is>
          <t>核定总奖励（元）</t>
        </is>
      </c>
      <c r="C3" s="77" t="inlineStr">
        <is>
          <t>认定条件</t>
        </is>
      </c>
      <c r="D3" s="77" t="inlineStr">
        <is>
          <t>所需证据</t>
        </is>
      </c>
      <c r="E3" s="77" t="inlineStr">
        <is>
          <t>结算规则</t>
        </is>
      </c>
    </row>
    <row r="4" ht="145" customHeight="1" s="1">
      <c r="A4" s="125" t="inlineStr">
        <is>
          <t>明确改善</t>
        </is>
      </c>
      <c r="B4" s="101" t="n">
        <v>100</v>
      </c>
      <c r="C4" s="125" t="inlineStr">
        <is>
          <t>达到事先确认的改善目标；修改前后有可比数据、样本足够，且未明显损害其他关键指标。</t>
        </is>
      </c>
      <c r="D4" s="125" t="inlineStr">
        <is>
          <t>改善目标、基线及观察区间、修改记录、前后数据和负责人验收。</t>
        </is>
      </c>
      <c r="E4" s="125" t="inlineStr">
        <is>
          <t>同一成果首次达到本档，核定100元；未验收不提前发放。</t>
        </is>
      </c>
    </row>
    <row r="5" ht="145" customHeight="1" s="1">
      <c r="A5" s="125" t="inlineStr">
        <is>
          <t>持续改善</t>
        </is>
      </c>
      <c r="B5" s="101" t="n">
        <v>300</v>
      </c>
      <c r="C5" s="125" t="inlineStr">
        <is>
          <t>已确认的改善在后续复查中保持，带来可说明的经济收益，例如减少退货损失或提高广告后利润。</t>
        </is>
      </c>
      <c r="D5" s="125" t="inlineStr">
        <is>
          <t>首次验收及后续复查、经济收益的测算口径、数据来源和结论。</t>
        </is>
      </c>
      <c r="E5" s="125" t="inlineStr">
        <is>
          <t>300元为该案例本档总奖励；已发100元则本次只补200元，不另发300元。</t>
        </is>
      </c>
    </row>
    <row r="6" ht="145" customHeight="1" s="1">
      <c r="A6" s="125" t="inlineStr">
        <is>
          <t>重大贡献</t>
        </is>
      </c>
      <c r="B6" s="101" t="n"/>
      <c r="C6" s="125" t="inlineStr">
        <is>
          <t>影响范围大、收益明显，普通档位不足以体现贡献。</t>
        </is>
      </c>
      <c r="D6" s="125" t="inlineStr">
        <is>
          <t>成果范围、可说明的收益、参与者贡献及负责人批准记录。</t>
        </is>
      </c>
      <c r="E6" s="125" t="inlineStr">
        <is>
          <t>由负责人另行确定案例总奖励。金额未确定不结算；如有此前奖励，按批准总额扣除累计已奖励金额。</t>
        </is>
      </c>
    </row>
    <row r="7" ht="85" customHeight="1" s="1">
      <c r="A7" s="125" t="inlineStr">
        <is>
          <t>统一原则</t>
        </is>
      </c>
      <c r="B7" s="125" t="inlineStr">
        <is>
          <t>同一成果只取最高核定档，不按月度复盘重复领奖；奖励金额不乘任务难度系数、主动倍率，也不再乘任何积分单价。</t>
        </is>
      </c>
    </row>
    <row r="8" ht="85" customHeight="1" s="1">
      <c r="A8" s="125" t="inlineStr">
        <is>
          <t>登记与验证</t>
        </is>
      </c>
      <c r="B8" s="125" t="inlineStr">
        <is>
          <t>改善前登记问题、目标、衡量指标、基线范围、验证日期和关联任务，由负责人确认；先记录目标不代表提前保证奖励。</t>
        </is>
      </c>
    </row>
    <row r="9" ht="36" customHeight="1" s="1">
      <c r="A9" s="77" t="inlineStr">
        <is>
          <t>验收场景</t>
        </is>
      </c>
      <c r="B9" s="77" t="inlineStr">
        <is>
          <t>重点观察</t>
        </is>
      </c>
      <c r="C9" s="77" t="inlineStr">
        <is>
          <t>可比性及观察要求</t>
        </is>
      </c>
      <c r="D9" s="77" t="inlineStr">
        <is>
          <t>不应单独作为奖励依据</t>
        </is>
      </c>
      <c r="E9" s="77" t="inlineStr">
        <is>
          <t>处理方式</t>
        </is>
      </c>
    </row>
    <row r="10" ht="145" customHeight="1" s="1">
      <c r="A10" s="125" t="inlineStr">
        <is>
          <t>描述／图片／A+改善退货</t>
        </is>
      </c>
      <c r="B10" s="125" t="inlineStr">
        <is>
          <t>相关退货原因及退货损失是否减少。</t>
        </is>
      </c>
      <c r="C10" s="125" t="inlineStr">
        <is>
          <t>对比修改前后可比订单批次；记录退货率分母及退货观察时长，确保修改后订单已获得足够退货观察期。</t>
        </is>
      </c>
      <c r="D10" s="125" t="inlineStr">
        <is>
          <t>最近几天退货率下降；仅看退货数量、没有订单基数；尚未发生退货被误认为改善。</t>
        </is>
      </c>
      <c r="E10" s="125" t="inlineStr">
        <is>
          <t>达到确认目标并满足样本及观察条件后验收；未成熟或样本不足，继续观察。</t>
        </is>
      </c>
    </row>
    <row r="11" ht="145" customHeight="1" s="1">
      <c r="A11" s="125" t="inlineStr">
        <is>
          <t>内容优化提升销量</t>
        </is>
      </c>
      <c r="B11" s="125" t="inlineStr">
        <is>
          <t>转化率、销量及利润是否改善。</t>
        </is>
      </c>
      <c r="C11" s="125" t="inlineStr">
        <is>
          <t>记录价格、促销、广告投入、库存、季节变化等同期因素；使用能支持判断的可比区间。</t>
        </is>
      </c>
      <c r="D11" s="125" t="inlineStr">
        <is>
          <t>只看销售额增长，忽略降价、广告投入增加或利润下降。</t>
        </is>
      </c>
      <c r="E11" s="125" t="inlineStr">
        <is>
          <t>依据证据判断此次内容调整的贡献；多因素变化且无法支持判断时继续观察。</t>
        </is>
      </c>
    </row>
    <row r="12" ht="145" customHeight="1" s="1">
      <c r="A12" s="125" t="inlineStr">
        <is>
          <t>广告优化提升表现</t>
        </is>
      </c>
      <c r="B12" s="125" t="inlineStr">
        <is>
          <t>广告订单、花费、ACOS及产品整体利润的变化。</t>
        </is>
      </c>
      <c r="C12" s="125" t="inlineStr">
        <is>
          <t>按事先确认目标选择指标，记录对比区间、订单归因等待和同期价格、库存、促销变化。</t>
        </is>
      </c>
      <c r="D12" s="125" t="inlineStr">
        <is>
          <t>只看ACOS降低；缩减投放后销量、利润也下降，不能直接认定为改善。</t>
        </is>
      </c>
      <c r="E12" s="125" t="inlineStr">
        <is>
          <t>结合整体收益核验，不要求所有指标同时上涨；未明显损害关键指标且达到目标后认定。</t>
        </is>
      </c>
    </row>
    <row r="13" ht="85" customHeight="1" s="1">
      <c r="A13" s="125" t="inlineStr">
        <is>
          <t>重复与协作</t>
        </is>
      </c>
      <c r="B13" s="125" t="inlineStr">
        <is>
          <t>同一问题、同一改善目标及同一成果登记唯一成果编号；关联OA或Streamlit任务。多人合作在同一份奖励内分配，个人份额之和不得超过本次可发奖励。</t>
        </is>
      </c>
    </row>
    <row r="14" ht="85" customHeight="1" s="1">
      <c r="A14" s="125" t="inlineStr">
        <is>
          <t>跨月与升级</t>
        </is>
      </c>
      <c r="B14" s="125" t="inlineStr">
        <is>
          <t>已奖励金额跨月累计，不能换月份或任务编号重新领取。按本次核定总奖励减去累计已奖励金额的正差额结算；无新增核定差额则不发放。</t>
        </is>
      </c>
    </row>
    <row r="15" ht="115" customHeight="1" s="1">
      <c r="A15" s="125" t="inlineStr">
        <is>
          <t>任务与成果边界</t>
        </is>
      </c>
      <c r="B15" s="125" t="inlineStr">
        <is>
          <t>任务通过验收可先按任务金额结算；效果仍待观察不阻止已完成任务的结算。成果未达到目标不自动追扣合格任务金额；修复本人错误或无依据操作不作为新成果奖励。 责任以操作当时已确认资料及执行证据为准；本人开发缺陷、本人执行错误的补救均不另计报酬或成果奖，不能通过更新资料或新建任务转为新成果。资料后续更新及证据不足的处理，详见“优化登记与复盘规则”。</t>
        </is>
      </c>
    </row>
    <row r="16" ht="85" customHeight="1" s="1">
      <c r="A16" s="125" t="inlineStr">
        <is>
          <t>月度汇总</t>
        </is>
      </c>
      <c r="B16" s="125" t="inlineStr">
        <is>
          <t>当月任务绩效＝OA已验收任务金额＋Streamlit已验收主动任务金额＋当月已确认且未重复结算的成果奖励（含升级补差）。同一任务同时出现在两处时只保留一份任务金额。</t>
        </is>
      </c>
    </row>
    <row r="17" ht="85" customHeight="1" s="1">
      <c r="A17" s="125" t="inlineStr">
        <is>
          <t>Streamlit字段</t>
        </is>
      </c>
      <c r="B17" s="125" t="inlineStr">
        <is>
          <t>成果编号、负责人及协作者、关联任务、改善对象及站点、问题与措施、改善目标、基线和观察期、前后数据、同期影响因素、复查结论、核定总奖励、累计已奖励金额、本次奖励、核定日期、结算状态和结算月份。</t>
        </is>
      </c>
    </row>
    <row r="18" ht="85" customHeight="1" s="1">
      <c r="A18" s="125" t="inlineStr">
        <is>
          <t>状态</t>
        </is>
      </c>
      <c r="B18" s="125" t="inlineStr">
        <is>
          <t>待确认目标 → 执行／观察中 → 待成果验收 → 已核定 → 已结算；未满足条件则继续观察或注明不予奖励原因。</t>
        </is>
      </c>
    </row>
    <row r="19" ht="36" customHeight="1" s="1">
      <c r="A19" s="77" t="inlineStr">
        <is>
          <t>结算示例</t>
        </is>
      </c>
      <c r="B19" s="77" t="inlineStr">
        <is>
          <t>核定总奖励（元）</t>
        </is>
      </c>
      <c r="C19" s="77" t="inlineStr">
        <is>
          <t>累计已奖励（元）</t>
        </is>
      </c>
      <c r="D19" s="77" t="inlineStr">
        <is>
          <t>本次奖励（元）</t>
        </is>
      </c>
      <c r="E19" s="77" t="inlineStr">
        <is>
          <t>说明</t>
        </is>
      </c>
    </row>
    <row r="20" ht="85" customHeight="1" s="1">
      <c r="A20" s="125" t="inlineStr">
        <is>
          <t>首次达到明确改善</t>
        </is>
      </c>
      <c r="B20" s="129" t="n">
        <v>100</v>
      </c>
      <c r="C20" s="129" t="n">
        <v>0</v>
      </c>
      <c r="D20" s="129">
        <f>MAX(0,B20-C20)</f>
        <v/>
      </c>
      <c r="E20" s="125" t="inlineStr">
        <is>
          <t>本次发100元。</t>
        </is>
      </c>
    </row>
    <row r="21" ht="85" customHeight="1" s="1">
      <c r="A21" s="125" t="inlineStr">
        <is>
          <t>后续达到持续改善</t>
        </is>
      </c>
      <c r="B21" s="129" t="n">
        <v>300</v>
      </c>
      <c r="C21" s="129" t="n">
        <v>100</v>
      </c>
      <c r="D21" s="129">
        <f>MAX(0,B21-C21)</f>
        <v/>
      </c>
      <c r="E21" s="125" t="inlineStr">
        <is>
          <t>本次补200元，累计300元。</t>
        </is>
      </c>
    </row>
    <row r="22" ht="85" customHeight="1" s="1">
      <c r="A22" s="125" t="inlineStr">
        <is>
          <t>同一成果再次复盘，无升级</t>
        </is>
      </c>
      <c r="B22" s="129" t="n">
        <v>300</v>
      </c>
      <c r="C22" s="129" t="n">
        <v>300</v>
      </c>
      <c r="D22" s="129">
        <f>MAX(0,B22-C22)</f>
        <v/>
      </c>
      <c r="E22" s="125" t="inlineStr">
        <is>
          <t>本次0元，不因复盘次数重复领奖。</t>
        </is>
      </c>
    </row>
    <row r="23" ht="36" customHeight="1" s="1">
      <c r="A23" s="77" t="inlineStr">
        <is>
          <t>月底汇总示例</t>
        </is>
      </c>
      <c r="B23" s="77" t="inlineStr">
        <is>
          <t>OA任务金额（元）</t>
        </is>
      </c>
      <c r="C23" s="77" t="inlineStr">
        <is>
          <t>主动任务金额（元）</t>
        </is>
      </c>
      <c r="D23" s="77" t="inlineStr">
        <is>
          <t>成果奖励（元）</t>
        </is>
      </c>
      <c r="E23" s="77" t="inlineStr">
        <is>
          <t>本月合计（元）</t>
        </is>
      </c>
    </row>
    <row r="24" ht="85" customHeight="1" s="1">
      <c r="A24" s="125" t="inlineStr">
        <is>
          <t>某员工</t>
        </is>
      </c>
      <c r="B24" s="129" t="n">
        <v>2000</v>
      </c>
      <c r="C24" s="129" t="n">
        <v>600</v>
      </c>
      <c r="D24" s="129" t="n">
        <v>200</v>
      </c>
      <c r="E24" s="129">
        <f>SUM(B24:D24)</f>
        <v/>
      </c>
    </row>
  </sheetData>
  <mergeCells count="10">
    <mergeCell ref="B17:E17"/>
    <mergeCell ref="B18:E18"/>
    <mergeCell ref="B8:E8"/>
    <mergeCell ref="B13:E13"/>
    <mergeCell ref="B16:E16"/>
    <mergeCell ref="B15:E15"/>
    <mergeCell ref="B7:E7"/>
    <mergeCell ref="A1:E1"/>
    <mergeCell ref="B2:E2"/>
    <mergeCell ref="B14:E14"/>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2" customWidth="1" style="1" min="1" max="1"/>
    <col width="24" customWidth="1" style="1" min="2" max="2"/>
    <col width="27" customWidth="1" style="1" min="3" max="3"/>
    <col width="78" customWidth="1" style="1" min="4" max="4"/>
  </cols>
  <sheetData>
    <row r="1" ht="65" customHeight="1" s="1">
      <c r="A1" s="128" t="inlineStr">
        <is>
          <t>系列产品开发计酬规则与结算示例</t>
        </is>
      </c>
    </row>
    <row r="2" ht="65" customHeight="1" s="1">
      <c r="A2" s="125" t="inlineStr">
        <is>
          <t>总原则</t>
        </is>
      </c>
      <c r="B2" s="125" t="inlineStr">
        <is>
          <t>按实际独立交付计酬，不按开发SKU数量乘单品总额。开发阶段费用、上架执行费用分别累计；没有独立交付的环节不计。</t>
        </is>
      </c>
    </row>
    <row r="3" ht="105" customHeight="1" s="1">
      <c r="A3" s="125" t="inlineStr">
        <is>
          <t>同一系列如何认定</t>
        </is>
      </c>
      <c r="B3" s="125" t="inlineStr">
        <is>
          <t>负责人在开发前确认系列项目编号、SKU及参数差异表、共用调研/供应方案、验证范围及内容交付；不能仅凭SKU字母或名称认定。仅一个参数不同通常可共用，但须核实是否影响结构、性能、使用限制或验证要求。</t>
        </is>
      </c>
    </row>
    <row r="4" ht="105" customHeight="1" s="1">
      <c r="A4" s="125" t="inlineStr">
        <is>
          <t>示例边界</t>
        </is>
      </c>
      <c r="B4" s="125" t="inlineStr">
        <is>
          <t>以下是同一人完成、负责人安排、美国站、全部通过验收、无额外资料核实任务的比较。10款只差一个参数，共用一份调研、同一厂家、一个完整验证方案、原创文案、主辅图策划、A+、字幕及视频；10个SKU各自图片上传，共用一张上架表，先按不处理变体计算。</t>
        </is>
      </c>
    </row>
    <row r="5" ht="65" customHeight="1" s="1">
      <c r="A5" s="125" t="inlineStr">
        <is>
          <t>系列上架基础金额（元）</t>
        </is>
      </c>
      <c r="B5" s="132" t="n">
        <v>40</v>
      </c>
      <c r="C5" s="125" t="inlineStr">
        <is>
          <t>按现有上架规则：2个及以上SKU可共用上架表，基础40元；独立上架仍引用任务评分25元。</t>
        </is>
      </c>
    </row>
    <row r="6" ht="65" customHeight="1" s="1">
      <c r="A6" s="128" t="inlineStr">
        <is>
          <t>工作环节</t>
        </is>
      </c>
      <c r="B6" s="128" t="inlineStr">
        <is>
          <t>1个SKU金额（元）</t>
        </is>
      </c>
      <c r="C6" s="128" t="inlineStr">
        <is>
          <t>10个同系列SKU金额（元）</t>
        </is>
      </c>
      <c r="D6" s="128" t="inlineStr">
        <is>
          <t>计费说明</t>
        </is>
      </c>
    </row>
    <row r="7" ht="65" customHeight="1" s="1">
      <c r="A7" s="125" t="inlineStr">
        <is>
          <t>市场调研与产品建议</t>
        </is>
      </c>
      <c r="B7" s="129">
        <f>'任务评分'!C51</f>
        <v/>
      </c>
      <c r="C7" s="129">
        <f>B7</f>
        <v/>
      </c>
      <c r="D7" s="125" t="inlineStr">
        <is>
          <t>共用同一份系列调研，只计一次。</t>
        </is>
      </c>
    </row>
    <row r="8" ht="65" customHeight="1" s="1">
      <c r="A8" s="125" t="inlineStr">
        <is>
          <t>厂家筛选与条件确认</t>
        </is>
      </c>
      <c r="B8" s="129">
        <f>'任务评分'!C52</f>
        <v/>
      </c>
      <c r="C8" s="129">
        <f>B8</f>
        <v/>
      </c>
      <c r="D8" s="125" t="inlineStr">
        <is>
          <t>同一厂家及合作方案涵盖参数差异，只计一次。</t>
        </is>
      </c>
    </row>
    <row r="9" ht="65" customHeight="1" s="1">
      <c r="A9" s="125" t="inlineStr">
        <is>
          <t>样品评估及问题跟进</t>
        </is>
      </c>
      <c r="B9" s="129">
        <f>'任务评分'!C53</f>
        <v/>
      </c>
      <c r="C9" s="129">
        <f>B9</f>
        <v/>
      </c>
      <c r="D9" s="125" t="inlineStr">
        <is>
          <t>约定验证范围完整执行并验收，合并计一次；不代表每个规格都可免检。</t>
        </is>
      </c>
    </row>
    <row r="10" ht="65" customHeight="1" s="1">
      <c r="A10" s="125" t="inlineStr">
        <is>
          <t>主图、辅图策划</t>
        </is>
      </c>
      <c r="B10" s="129">
        <f>'任务评分'!C55</f>
        <v/>
      </c>
      <c r="C10" s="129">
        <f>B10</f>
        <v/>
      </c>
      <c r="D10" s="125" t="inlineStr">
        <is>
          <t>独立于A+的一套主辅图方案；参数替换不视为重新策划。</t>
        </is>
      </c>
    </row>
    <row r="11" ht="65" customHeight="1" s="1">
      <c r="A11" s="125" t="inlineStr">
        <is>
          <t>视频字幕</t>
        </is>
      </c>
      <c r="B11" s="129">
        <f>'任务评分'!C56</f>
        <v/>
      </c>
      <c r="C11" s="129">
        <f>B11</f>
        <v/>
      </c>
      <c r="D11" s="125" t="inlineStr">
        <is>
          <t>共用一份准确适用的字幕稿，只计一次。</t>
        </is>
      </c>
    </row>
    <row r="12" ht="65" customHeight="1" s="1">
      <c r="A12" s="125" t="inlineStr">
        <is>
          <t>原创标题</t>
        </is>
      </c>
      <c r="B12" s="129">
        <f>'任务评分'!C14</f>
        <v/>
      </c>
      <c r="C12" s="129">
        <f>B12</f>
        <v/>
      </c>
      <c r="D12" s="125" t="inlineStr">
        <is>
          <t>共用原创文案，分别替换参数不重复领取原创费。</t>
        </is>
      </c>
    </row>
    <row r="13" ht="65" customHeight="1" s="1">
      <c r="A13" s="125" t="inlineStr">
        <is>
          <t>原创五点</t>
        </is>
      </c>
      <c r="B13" s="129">
        <f>'任务评分'!C15</f>
        <v/>
      </c>
      <c r="C13" s="129">
        <f>B13</f>
        <v/>
      </c>
      <c r="D13" s="125" t="inlineStr">
        <is>
          <t>共用一套五点，不按SKU复制份数累计。</t>
        </is>
      </c>
    </row>
    <row r="14" ht="65" customHeight="1" s="1">
      <c r="A14" s="125" t="inlineStr">
        <is>
          <t>原创描述</t>
        </is>
      </c>
      <c r="B14" s="129">
        <f>'任务评分'!C16</f>
        <v/>
      </c>
      <c r="C14" s="129">
        <f>B14</f>
        <v/>
      </c>
      <c r="D14" s="125" t="inlineStr">
        <is>
          <t>共用一份描述，不按SKU复制份数累计。</t>
        </is>
      </c>
    </row>
    <row r="15" ht="65" customHeight="1" s="1">
      <c r="A15" s="125" t="inlineStr">
        <is>
          <t>Generic Keywords</t>
        </is>
      </c>
      <c r="B15" s="129">
        <f>'任务评分'!C17</f>
        <v/>
      </c>
      <c r="C15" s="129">
        <f>B15</f>
        <v/>
      </c>
      <c r="D15" s="125" t="inlineStr">
        <is>
          <t>共用一套关键词，只计一次。</t>
        </is>
      </c>
    </row>
    <row r="16" ht="65" customHeight="1" s="1">
      <c r="A16" s="125" t="inlineStr">
        <is>
          <t>新建A+</t>
        </is>
      </c>
      <c r="B16" s="129">
        <f>'任务评分'!C11</f>
        <v/>
      </c>
      <c r="C16" s="129">
        <f>B16</f>
        <v/>
      </c>
      <c r="D16" s="125" t="inlineStr">
        <is>
          <t>同一份适用于整个系列的独立内容，含首次绑定。</t>
        </is>
      </c>
    </row>
    <row r="17" ht="65" customHeight="1" s="1">
      <c r="A17" s="125" t="inlineStr">
        <is>
          <t>视频上传</t>
        </is>
      </c>
      <c r="B17" s="129">
        <f>'任务评分'!C12</f>
        <v/>
      </c>
      <c r="C17" s="129">
        <f>B17</f>
        <v/>
      </c>
      <c r="D17" s="125" t="inlineStr">
        <is>
          <t>共用一个视频，含首次关联。</t>
        </is>
      </c>
    </row>
    <row r="18" ht="65" customHeight="1" s="1">
      <c r="A18" s="125" t="inlineStr">
        <is>
          <t>Listing创建</t>
        </is>
      </c>
      <c r="B18" s="129">
        <f>'任务评分'!C8</f>
        <v/>
      </c>
      <c r="C18" s="129">
        <f>$B$5</f>
        <v/>
      </c>
      <c r="D18" s="125" t="inlineStr">
        <is>
          <t>1个SKU25元；10个SKU共用一张表40元，不按SKU累乘。</t>
        </is>
      </c>
    </row>
    <row r="19" ht="65" customHeight="1" s="1">
      <c r="A19" s="125" t="inlineStr">
        <is>
          <t>图片上传</t>
        </is>
      </c>
      <c r="B19" s="129">
        <f>'任务评分'!C9</f>
        <v/>
      </c>
      <c r="C19" s="129">
        <f>'任务评分'!C9*10</f>
        <v/>
      </c>
      <c r="D19" s="125" t="inlineStr">
        <is>
          <t>各SKU有自己的可用图片，按每个SKU10元。</t>
        </is>
      </c>
    </row>
    <row r="20" ht="65" customHeight="1" s="1">
      <c r="A20" s="128" t="inlineStr">
        <is>
          <t>上述工作合计</t>
        </is>
      </c>
      <c r="B20" s="130">
        <f>SUM(B7:B19)</f>
        <v/>
      </c>
      <c r="C20" s="130">
        <f>SUM(C7:C19)</f>
        <v/>
      </c>
      <c r="D20" s="128" t="inlineStr">
        <is>
          <t>不含额外资料核实、广告、跨站点上架、成果奖励及平台/采购费用。</t>
        </is>
      </c>
    </row>
    <row r="21" ht="65" customHeight="1" s="1">
      <c r="A21" s="125" t="inlineStr">
        <is>
          <t>如确有额外独立资料核实</t>
        </is>
      </c>
      <c r="B21" s="129">
        <f>'任务评分'!C54</f>
        <v/>
      </c>
      <c r="C21" s="129">
        <f>'任务评分'!C54</f>
        <v/>
      </c>
      <c r="D21" s="125" t="inlineStr">
        <is>
          <t>仅在前述阶段未交付且确需额外核实、补全并验收时另加；同系列共用一套只加一次。</t>
        </is>
      </c>
    </row>
    <row r="22" ht="65" customHeight="1" s="1">
      <c r="A22" s="125" t="inlineStr">
        <is>
          <t>如上架时组成同一个变体，增加金额</t>
        </is>
      </c>
      <c r="B22" s="129">
        <f>ROUND(B18*0.3,2)</f>
        <v/>
      </c>
      <c r="C22" s="129">
        <f>ROUND(C18*0.3,2)</f>
        <v/>
      </c>
      <c r="D22" s="125" t="inlineStr">
        <is>
          <t>系数由1变1.3，仅对上架执行组基础金额增加30%；不再叠加变体维护。</t>
        </is>
      </c>
    </row>
    <row r="23" ht="65" customHeight="1" s="1">
      <c r="A23" s="125" t="inlineStr">
        <is>
          <t>组成同一个变体后的合计</t>
        </is>
      </c>
      <c r="B23" s="129">
        <f>B20+B22</f>
        <v/>
      </c>
      <c r="C23" s="129">
        <f>C20+C22</f>
        <v/>
      </c>
      <c r="D23" s="125" t="inlineStr">
        <is>
          <t>基于第20行，仅增加上架变体差额，不含可选的资料核实。</t>
        </is>
      </c>
    </row>
    <row r="24" ht="65" customHeight="1" s="1">
      <c r="A24" s="125" t="n"/>
      <c r="B24" s="125" t="n"/>
      <c r="C24" s="125" t="n"/>
      <c r="D24" s="125" t="n"/>
    </row>
    <row r="25" ht="65" customHeight="1" s="1">
      <c r="A25" s="128" t="inlineStr">
        <is>
          <t>实际结算与防重复规则</t>
        </is>
      </c>
    </row>
    <row r="26" ht="105" customHeight="1" s="1">
      <c r="A26" s="125" t="inlineStr">
        <is>
          <t>系列共用工作如何验收</t>
        </is>
      </c>
      <c r="B26" s="125" t="inlineStr">
        <is>
          <t>调研须覆盖本批参数需求；找厂须覆盖各规格报价、MOQ及供货条件；验证按事先确认方案执行；资料及内容须覆盖各规格差异。共用不代表漏做各规格必需检查。</t>
        </is>
      </c>
    </row>
    <row r="27" ht="105" customHeight="1" s="1">
      <c r="A27" s="125" t="inlineStr">
        <is>
          <t>仅增加参数款</t>
        </is>
      </c>
      <c r="B27" s="125" t="inlineStr">
        <is>
          <t>首次约定范围内增加参数映射、报价补充、原测试及内容修订包含在原阶段中，不重收整套开发费。原项目结案后新增参数款，先判断本次独立交付；无需重新调研、找厂、策划的阶段不再付费，只支付本次确实新增且验收的上架、图片上传或独立验证等任务。</t>
        </is>
      </c>
    </row>
    <row r="28" ht="105" customHeight="1" s="1">
      <c r="A28" s="125" t="inlineStr">
        <is>
          <t>确有独立开发工作</t>
        </is>
      </c>
      <c r="B28" s="125" t="inlineStr">
        <is>
          <t>例如新电压需不同电控方案、不同功能需新卖点、尺寸变化需独立性能测试，可为受影响阶段建立独立任务并按原标准计酬。须事先记录区别、范围及验收要求；不能因此把未重做的调研、找厂、文案等全部再算一遍。</t>
        </is>
      </c>
    </row>
    <row r="29" ht="105" customHeight="1" s="1">
      <c r="A29" s="125" t="inlineStr">
        <is>
          <t>内容与素材按实际独立份数</t>
        </is>
      </c>
      <c r="B29" s="125" t="inlineStr">
        <is>
          <t>10份图片文件并不等于10套图片策划；只改参数文字、替换同布局实物图不自动增加策划费。A+、主辅图方案、字幕及文案按独立原创交付计数；确需不同结构或卖点方案，提供独立方案及确认记录。图片上传仍按实际SKU，实际修图/拍摄不在本例员工任务范围。</t>
        </is>
      </c>
    </row>
    <row r="30" ht="105" customHeight="1" s="1">
      <c r="A30" s="125" t="inlineStr">
        <is>
          <t>不能共享时如何计算</t>
        </is>
      </c>
      <c r="B30" s="125" t="inlineStr">
        <is>
          <t>按实际交付数量替换本例数量，不直接用475乘SKU。不同上架模板分组计费，不同站点分别计上架；共用开发资料不因站点增加再领开发费。独立A+、视频及图片方案分别按各项目标准验收。</t>
        </is>
      </c>
    </row>
    <row r="31" ht="105" customHeight="1" s="1">
      <c r="A31" s="125" t="inlineStr">
        <is>
          <t>台账与分配</t>
        </is>
      </c>
      <c r="B31" s="125" t="inlineStr">
        <is>
          <t>记录系列项目编号、SKU参数清单、阶段任务编号、共用/独立范围、交付ID、参与人和验收日期。OA按SKU拆单时关联同一阶段交付ID；多人协作共享该交付的总报酬，不每人领取一份。跨月结算及后续新增款沿用系列ID，避免重新认领旧交付。</t>
        </is>
      </c>
    </row>
    <row r="32" ht="105" customHeight="1" s="1">
      <c r="A32" s="125" t="inlineStr">
        <is>
          <t>主动倍率与责任纠错</t>
        </is>
      </c>
      <c r="B32" s="125" t="inlineStr">
        <is>
          <t>本页比较均按指派任务倍率1，不表示新增统一的系列主动倍率。员工主动提出系列也不能把每个SKU都乘出一份开发金额；先按本页确定真实独立交付金额，再按已确认适用倍率计。原任务错误补交、返工不另计酬。</t>
        </is>
      </c>
    </row>
  </sheetData>
  <mergeCells count="13">
    <mergeCell ref="A1:D1"/>
    <mergeCell ref="B28:D28"/>
    <mergeCell ref="B3:D3"/>
    <mergeCell ref="B31:D31"/>
    <mergeCell ref="B32:D32"/>
    <mergeCell ref="C5:D5"/>
    <mergeCell ref="B4:D4"/>
    <mergeCell ref="B26:D26"/>
    <mergeCell ref="B27:D27"/>
    <mergeCell ref="A25:D25"/>
    <mergeCell ref="B30:D30"/>
    <mergeCell ref="B29:D29"/>
    <mergeCell ref="B2:D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28" customWidth="1" style="1" min="1" max="1"/>
    <col width="90" customWidth="1" style="1" min="2" max="2"/>
  </cols>
  <sheetData>
    <row r="1">
      <c r="A1" s="135" t="inlineStr">
        <is>
          <t>技术研发考核规则（试行）</t>
        </is>
      </c>
      <c r="B1" s="136" t="n"/>
    </row>
    <row r="2">
      <c r="A2" s="137" t="inlineStr">
        <is>
          <t>适用范围</t>
        </is>
      </c>
      <c r="B2" s="137" t="inlineStr">
        <is>
          <t>适用于需要独立研究、技术攻关或产品创新的研发项目。技术研发单独使用本规则，不套用运营考核中普通新品开发（调研75元、找厂75元、样品75元）的标准。
普通新品开发仍按"运营考核"任务评分执行；同一交付物不在两套体系中重复计费。研发阶段与运营阶段以"投产验收"为分界：投产验收前按本规则计酬，投产验收后的上架、图片、A+、广告等按运营考核规则计酬。
研发期间产出的产品资料、图片策划、字幕等，如果直接用于后续上架且无需独立重做，运营阶段不再另计该部分金额。</t>
        </is>
      </c>
    </row>
    <row r="3">
      <c r="A3" s="137" t="inlineStr">
        <is>
          <t>计价说明</t>
        </is>
      </c>
      <c r="B3" s="137" t="inlineStr">
        <is>
          <t>本页直接以人民币元计价，与运营考核保持统一口径。以下数值为试行建议，立项时可根据项目难度调整具体金额。</t>
        </is>
      </c>
    </row>
    <row r="5">
      <c r="A5" s="135" t="inlineStr">
        <is>
          <t>奖励层级</t>
        </is>
      </c>
      <c r="B5" s="136" t="n"/>
    </row>
    <row r="6">
      <c r="A6" s="135" t="inlineStr">
        <is>
          <t>奖励层级</t>
        </is>
      </c>
      <c r="B6" s="135" t="inlineStr">
        <is>
          <t>考核内容、建议金额与验收条件</t>
        </is>
      </c>
    </row>
    <row r="7">
      <c r="A7" s="138" t="inlineStr">
        <is>
          <t>研究任务金额</t>
        </is>
      </c>
      <c r="B7" s="137" t="inlineStr">
        <is>
          <t>考核内容：完成约定的调查、分析、设计和试验。
建议金额：50元/独立研究任务（立项时可根据任务范围和难度调整）。
验收条件：有研究记录、新增证据、阶段结论和下一步方案；认真研究但尚未突破也可验收。仅有"还在研究"、没有实际记录和结论的，不能验收。</t>
        </is>
      </c>
    </row>
    <row r="8">
      <c r="A8" s="138" t="inlineStr">
        <is>
          <t>阶段突破额外金额</t>
        </is>
      </c>
      <c r="B8" s="137" t="inlineStr">
        <is>
          <t>考核内容：解决关键技术问题，达到约定的技术指标或目标。
建议金额：关键突破100元/独立突破目标（立项时可调整）；重大突破由负责人另行确定金额。
验收条件：有可复现的验证结果，证明问题得到解决或方案达到指标。
关键突破与重大突破的区别：关键突破解决单个项目的核心技术难题；重大突破具有显著创新性，影响多个产品线或形成可保护的技术方案。</t>
        </is>
      </c>
    </row>
    <row r="9">
      <c r="A9" s="138" t="inlineStr">
        <is>
          <t>投产金额</t>
        </is>
      </c>
      <c r="B9" s="137" t="inlineStr">
        <is>
          <t>考核内容：研发成果完成生产转化。
建议金额：100元/独立研发项目。
验收条件：设计文件、BOM、检验标准及工艺文件完成交接；首批产品通过约定的检验项目且良率达到立项时确认的目标（未约定时以≥95%为默认）。
质量责任：生产交接后3个月内因设计缺陷导致的批量质量问题，研发人员有配合排查义务，不另计研究或突破金额。</t>
        </is>
      </c>
    </row>
    <row r="10">
      <c r="A10" s="138" t="inlineStr">
        <is>
          <t>销售提成</t>
        </is>
      </c>
      <c r="B10" s="137" t="inlineStr">
        <is>
          <t>考核内容：产品持续产生经营收益。
建议比例：项目可提成贡献利润的3%。
起算时间：从首批产品可售之日起算24个月；中间断货不暂停计时，但断货期间无销售则无提成。
结算周期：月度统计、季度结算。
最低门槛：单月贡献利润低于500元时不计提成，避免微利产品产生过高管理成本。
提成基数：扣除退货成本和质量索赔后的净贡献利润。</t>
        </is>
      </c>
    </row>
    <row r="11">
      <c r="A11" s="139" t="inlineStr">
        <is>
          <t>可调整参数</t>
        </is>
      </c>
      <c r="B11" s="139" t="inlineStr">
        <is>
          <t>上述金额（50元、100元、100元、3%、500元门槛、24个月期限、95%良率）均为试行建议，立项时由负责人根据项目情况确认。确认后记入立项文件，项目周期内不随意变更。</t>
        </is>
      </c>
    </row>
    <row r="13">
      <c r="A13" s="135" t="inlineStr">
        <is>
          <t>立项要求</t>
        </is>
      </c>
      <c r="B13" s="136" t="n"/>
    </row>
    <row r="14">
      <c r="A14" s="137" t="inlineStr">
        <is>
          <t>研究任务立项</t>
        </is>
      </c>
      <c r="B14" s="137" t="inlineStr">
        <is>
          <t>每项研究任务开始前，写清以下内容：
① 研究问题：明确本次任务要回答的具体技术问题。
② 交付成果：约定需提交的记录、数据、结论或方案。
③ 约定金额：根据任务范围和难度确认本次金额。
④ 检查时间：约定阶段检查或最终提交日期。
每个研究任务对应一个独立研究问题。同一研究问题拆成多个阶段提交，合并为一个研究任务；不同研究问题即使在同一周完成也分别计费。以立项时约定的研究问题为去重依据，不以OA条数、周报次数或文档份数累加。研究任务不等同于一个自然周，不能每周自动领取。</t>
        </is>
      </c>
    </row>
    <row r="15">
      <c r="A15" s="137" t="inlineStr">
        <is>
          <t>突破目标立项</t>
        </is>
      </c>
      <c r="B15" s="137" t="inlineStr">
        <is>
          <t>突破目标另外写清以下内容：
① 技术指标：约定需达到的可量化目标或可判断的技术条件。
② 验证方法：约定如何复现和验证突破结果。
③ 额外金额：根据难度和影响确认突破金额。
④ 关键突破或重大突破的预判：立项时初步判断，验收时可根据实际成果调整。</t>
        </is>
      </c>
    </row>
    <row r="16">
      <c r="A16" s="137" t="inlineStr">
        <is>
          <t>提成口径立项</t>
        </is>
      </c>
      <c r="B16" s="137" t="inlineStr">
        <is>
          <t>项目立项时提前固定以下内容：
① 关联产品：明确哪些SKU或产品线纳入提成计算。
② 成本扣除项：约定哪些成本从收入中扣除（采购、运费、平台费、广告、退货等）。
③ 退货调整：退货成本和质量索赔从提成基数中扣除。
④ 起止日期：首批产品可售之日起24个月。
⑤ 人员调岗或离开项目：按在项目中的参与月份÷项目总月份 × 应得提成比例分配。离职后仍发放剩余期限的提成（已约定的合同义务），但不再参与新立项。</t>
        </is>
      </c>
    </row>
    <row r="18">
      <c r="A18" s="135" t="inlineStr">
        <is>
          <t>执行规则</t>
        </is>
      </c>
      <c r="B18" s="136" t="n"/>
    </row>
    <row r="19">
      <c r="A19" s="137" t="inlineStr">
        <is>
          <t>① 过程和突破分别验收</t>
        </is>
      </c>
      <c r="B19" s="137" t="inlineStr">
        <is>
          <t>认真研究但尚未突破，可以拿研究任务金额；只有"还在研究"、没有实际记录和结论，不能验收。突破需有可复现的验证结果，独立于研究过程验收。</t>
        </is>
      </c>
    </row>
    <row r="20">
      <c r="A20" s="137" t="inlineStr">
        <is>
          <t>② 可靠的失败结论有价值</t>
        </is>
      </c>
      <c r="B20" s="137" t="inlineStr">
        <is>
          <t>证明某路线不可行，有充分证据和分析的，可以取得研究任务金额。若事先将"判明可行性"明确为技术目标，也可按约定认定突破成果。</t>
        </is>
      </c>
    </row>
    <row r="21">
      <c r="A21" s="137" t="inlineStr">
        <is>
          <t>③ 同一成果不重复包装</t>
        </is>
      </c>
      <c r="B21" s="137" t="inlineStr">
        <is>
          <t>多个独立突破可分别奖励，必须在立项时明确区别。普通新品开发任务与研发任务的相同交付只计一次，不在两套体系中重复计费。</t>
        </is>
      </c>
    </row>
    <row r="22">
      <c r="A22" s="137" t="inlineStr">
        <is>
          <t>④ 正常调试和本人缺陷返工不新增奖励</t>
        </is>
      </c>
      <c r="B22" s="137" t="inlineStr">
        <is>
          <t>正常开发调试过程不单独领取研究或突破金额。本人设计缺陷的修复属于原任务返工，不另计酬。新增需求或新技术问题，确认新增范围后另立任务。</t>
        </is>
      </c>
    </row>
    <row r="23">
      <c r="A23" s="137" t="inlineStr">
        <is>
          <t>⑤ 共用系列、多人合作按项目分配</t>
        </is>
      </c>
      <c r="B23" s="137" t="inlineStr">
        <is>
          <t>同一方案衍生多个SKU，不重复领取整套研究、突破和投产金额。多人合作在同一份项目金额及提成池内分配，提前明确分配比例，个人份额之和不得超过项目总金额。</t>
        </is>
      </c>
    </row>
    <row r="24">
      <c r="A24" s="137" t="inlineStr">
        <is>
          <t>⑥ 提成口径提前固定</t>
        </is>
      </c>
      <c r="B24" s="137" t="inlineStr">
        <is>
          <t>明确关联产品、成本扣除项、退货调整、起止日期及人员变动规则。提成期限内不因人员调动改变已约定的口径，但可因产品线调整经双方确认更新关联SKU。</t>
        </is>
      </c>
    </row>
    <row r="25">
      <c r="A25" s="137" t="inlineStr">
        <is>
          <t>⑦ 超期管理</t>
        </is>
      </c>
      <c r="B25" s="137" t="inlineStr">
        <is>
          <t>研究任务超过立项时约定的检查时间仍未提交任何成果或进展说明的，暂停该任务金额确认，直到补交记录。超过约定时间60天仍无实质进展，由负责人决定是否终止任务或调整方案。终止不追扣已验收的研究金额，但不发放未验收部分。</t>
        </is>
      </c>
    </row>
    <row r="27">
      <c r="A27" s="135" t="inlineStr">
        <is>
          <t>过程管理</t>
        </is>
      </c>
      <c r="B27" s="136" t="n"/>
    </row>
    <row r="28">
      <c r="A28" s="137" t="inlineStr">
        <is>
          <t>周报更新</t>
        </is>
      </c>
      <c r="B28" s="137" t="inlineStr">
        <is>
          <t>每周一次更新"新增成果、当前卡点、下一步"。既不要求每周都突破，也不能长期没有证据地重复领取研究金额。</t>
        </is>
      </c>
    </row>
    <row r="29">
      <c r="A29" s="137" t="inlineStr">
        <is>
          <t>月度统计</t>
        </is>
      </c>
      <c r="B29" s="137" t="inlineStr">
        <is>
          <t>月底统计已验收的研究任务金额和突破金额，计入当月绩效。投产金额在验收完成月计入。销售提成按季度结算，不计入月度任务绩效。</t>
        </is>
      </c>
    </row>
    <row r="30">
      <c r="A30" s="137" t="inlineStr">
        <is>
          <t>台账字段</t>
        </is>
      </c>
      <c r="B30" s="137" t="inlineStr">
        <is>
          <t>项目编号｜研究任务编号｜人员及分配比例｜研究问题｜交付成果要求｜约定金额｜立项日期｜检查日期｜周报记录｜验收状态｜验收日期｜突破目标编号（如有）｜技术指标｜验证方法｜突破金额｜投产验收日期｜关联产品SKU｜提成口径｜提成起止日期｜提成结算记录。</t>
        </is>
      </c>
    </row>
    <row r="32">
      <c r="A32" s="135" t="inlineStr">
        <is>
          <t>计费示例</t>
        </is>
      </c>
      <c r="B32" s="136" t="n"/>
    </row>
    <row r="33">
      <c r="A33" s="137" t="inlineStr">
        <is>
          <t>示例：一个项目约定两项研究任务、一个突破目标</t>
        </is>
      </c>
      <c r="B33" s="137" t="inlineStr">
        <is>
          <t>① 完成第一项研究任务（材料选型调查）：验收通过，50元。
② 完成第二项研究任务（结构方案设计与试验）：验收通过，50元。累计100元。
③ 取得并验证关键突破（达到约定的性能指标）：额外100元。累计200元。
④ 首批投产验收通过：再加100元。累计300元。
⑤ 后续销售：另按项目净贡献利润的3%提成，月度统计、季度结算，持续24个月。不占用上述金额。</t>
        </is>
      </c>
    </row>
    <row r="34">
      <c r="A34" s="137" t="inlineStr">
        <is>
          <t>示例：研究完成但未突破</t>
        </is>
      </c>
      <c r="B34" s="137" t="inlineStr">
        <is>
          <t>完成两项研究任务，认真调查并提交了充分证据和结论，证明当前路线不可行。
研究任务金额：50＋50＝100元，正常验收。
突破金额：0元（未达到约定指标）。
投产金额：0元（未进入生产）。
提成：无。
说明：可靠的失败结论有价值，研究金额照常发放。</t>
        </is>
      </c>
    </row>
    <row r="35">
      <c r="A35" s="137" t="inlineStr">
        <is>
          <t>示例：同一方案衍生3个SKU</t>
        </is>
      </c>
      <c r="B35" s="137" t="inlineStr">
        <is>
          <t>共用同一套研究方案和技术突破，衍生3个尺寸的产品。
研究任务金额：按实际独立研究任务计（如共用方案只计一次50元，不按SKU数乘3）。
突破金额：共用同一突破只计一次100元。
投产金额：共用同一设计方案和BOM体系，只计一次100元。
提成：3个SKU的净贡献利润合并计算，按约定比例提成。
与运营考核的衔接：投产后的上架、图片等按运营考核规则计酬，系列产品按"系列开发计酬"页规则处理。</t>
        </is>
      </c>
    </row>
    <row r="36">
      <c r="A36" s="137" t="inlineStr">
        <is>
          <t>示例：多人合作</t>
        </is>
      </c>
      <c r="B36" s="137" t="inlineStr">
        <is>
          <t>两人合作完成一个研发项目，立项时约定A负责60%、B负责40%。
研究任务100元（2项×50元）：A得60元，B得40元。
突破100元：A得60元，B得40元。
投产100元：A得60元，B得40元。
提成：A按3%×60%＝1.8%，B按3%×40%＝1.2%，各自按份额结算。
两人金额之和不超过项目总金额，不因多人参与增加项目总额。</t>
        </is>
      </c>
    </row>
    <row r="38">
      <c r="A38" s="135" t="inlineStr">
        <is>
          <t>与运营考核的边界</t>
        </is>
      </c>
      <c r="B38" s="136" t="n"/>
    </row>
    <row r="39">
      <c r="A39" s="137" t="inlineStr">
        <is>
          <t>分界点</t>
        </is>
      </c>
      <c r="B39" s="137" t="inlineStr">
        <is>
          <t>研发阶段与运营阶段以"投产验收"为分界。投产验收前的工作按本规则（研究任务、突破、投产）计酬；投产验收后的上架、图片、A+、广告等按"运营考核"任务评分规则计酬。</t>
        </is>
      </c>
    </row>
    <row r="40">
      <c r="A40" s="137" t="inlineStr">
        <is>
          <t>共用交付物</t>
        </is>
      </c>
      <c r="B40" s="137" t="inlineStr">
        <is>
          <t>研发期间产出的产品资料、图片策划、字幕等，如果直接用于后续上架且无需独立重做，运营阶段不再另计该部分金额。与"系列开发计酬"页的共用内容原则一致。</t>
        </is>
      </c>
    </row>
    <row r="41">
      <c r="A41" s="137" t="inlineStr">
        <is>
          <t>不重复计费</t>
        </is>
      </c>
      <c r="B41" s="137" t="inlineStr">
        <is>
          <t>同一交付物不在研发考核和运营考核两套体系中重复计费。例如：研发期间已计入研究任务金额的产品资料核实，不再按运营考核的"产品资料整理与确认"40元另计。但研发期间未涉及的运营工作（如后续独立的广告创建、价格调整等），按运营考核正常计酬。</t>
        </is>
      </c>
    </row>
    <row r="42">
      <c r="A42" s="137" t="inlineStr">
        <is>
          <t>提成与成果奖励</t>
        </is>
      </c>
      <c r="B42" s="137" t="inlineStr">
        <is>
          <t>研发项目的销售提成按本页规则结算。运营考核中的"改善成果奖励"适用于运营阶段的改善工作，与研发提成不重复：同一产品的同一经营改善不同时领取提成和成果奖励。运营人员对研发产品的后续优化可按运营考核的成果奖励规则另行申请，但需确认与研发提成无重叠。</t>
        </is>
      </c>
    </row>
  </sheetData>
  <mergeCells count="7">
    <mergeCell ref="A38:B38"/>
    <mergeCell ref="A5:B5"/>
    <mergeCell ref="A32:B32"/>
    <mergeCell ref="A13:B13"/>
    <mergeCell ref="A1:B1"/>
    <mergeCell ref="A18:B18"/>
    <mergeCell ref="A27:B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2026-09-08T07:13:30Z</dcterms:created>
  <dcterms:modified xsi:type="dcterms:W3CDTF">2026-09-11T08:39:29Z</dcterms:modified>
</cp:coreProperties>
</file>